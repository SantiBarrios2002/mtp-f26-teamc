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k Budget" sheetId="2" state="visible" r:id="rId2"/>
    <sheet xmlns:r="http://schemas.openxmlformats.org/officeDocument/2006/relationships" name="Height Sweep" sheetId="3" state="visible" r:id="rId3"/>
    <sheet xmlns:r="http://schemas.openxmlformats.org/officeDocument/2006/relationships" name="Throughput" sheetId="4" state="visible" r:id="rId4"/>
    <sheet xmlns:r="http://schemas.openxmlformats.org/officeDocument/2006/relationships" name="Candidates" sheetId="5" state="visible" r:id="rId5"/>
    <sheet xmlns:r="http://schemas.openxmlformats.org/officeDocument/2006/relationships" name="Regula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#"/>
    <numFmt numFmtId="166" formatCode="0.000"/>
    <numFmt numFmtId="167" formatCode="0.0000"/>
    <numFmt numFmtId="168" formatCode="0.0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color rgb="0000800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3" borderId="0" pivotButton="0" quotePrefix="0" xfId="0"/>
    <xf numFmtId="0" fontId="0" fillId="3" borderId="0" pivotButton="0" quotePrefix="0" xfId="0"/>
    <xf numFmtId="49" fontId="5" fillId="0" borderId="1" applyAlignment="1" pivotButton="0" quotePrefix="0" xfId="0">
      <alignment vertical="top" wrapText="1"/>
    </xf>
    <xf numFmtId="164" fontId="5" fillId="0" borderId="1" pivotButton="0" quotePrefix="0" xfId="0"/>
    <xf numFmtId="49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" fontId="5" fillId="0" borderId="1" pivotButton="0" quotePrefix="0" xfId="0"/>
    <xf numFmtId="167" fontId="4" fillId="0" borderId="1" pivotButton="0" quotePrefix="0" xfId="0"/>
    <xf numFmtId="164" fontId="4" fillId="0" borderId="1" pivotButton="0" quotePrefix="0" xfId="0"/>
    <xf numFmtId="165" fontId="5" fillId="4" borderId="1" pivotButton="0" quotePrefix="0" xfId="0"/>
    <xf numFmtId="49" fontId="4" fillId="0" borderId="1" pivotButton="0" quotePrefix="0" xfId="0"/>
    <xf numFmtId="2" fontId="5" fillId="4" borderId="1" pivotButton="0" quotePrefix="0" xfId="0"/>
    <xf numFmtId="2" fontId="5" fillId="0" borderId="1" pivotButton="0" quotePrefix="0" xfId="0"/>
    <xf numFmtId="168" fontId="4" fillId="0" borderId="1" pivotButton="0" quotePrefix="0" xfId="0"/>
    <xf numFmtId="166" fontId="4" fillId="0" borderId="1" pivotButton="0" quotePrefix="0" xfId="0"/>
    <xf numFmtId="164" fontId="4" fillId="5" borderId="1" pivotButton="0" quotePrefix="0" xfId="0"/>
    <xf numFmtId="164" fontId="3" fillId="5" borderId="1" pivotButton="0" quotePrefix="0" xfId="0"/>
    <xf numFmtId="0" fontId="5" fillId="4" borderId="0" pivotButton="0" quotePrefix="0" xfId="0"/>
    <xf numFmtId="1" fontId="4" fillId="0" borderId="1" pivotButton="0" quotePrefix="0" xfId="0"/>
    <xf numFmtId="2" fontId="5" fillId="2" borderId="0" pivotButton="0" quotePrefix="0" xfId="0"/>
    <xf numFmtId="0" fontId="6" fillId="0" borderId="0" pivotButton="0" quotePrefix="0" xfId="0"/>
    <xf numFmtId="164" fontId="0" fillId="0" borderId="1" pivotButton="0" quotePrefix="0" xfId="0"/>
    <xf numFmtId="0" fontId="5" fillId="0" borderId="0" pivotButton="0" quotePrefix="0" xfId="0"/>
    <xf numFmtId="164" fontId="0" fillId="5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pivotButton="0" quotePrefix="0" xfId="0"/>
    <xf numFmtId="164" fontId="0" fillId="5" borderId="1" pivotButton="0" quotePrefix="0" xfId="0"/>
    <xf numFmtId="1" fontId="0" fillId="5" borderId="1" pivotButton="0" quotePrefix="0" xfId="0"/>
    <xf numFmtId="1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Radio team</author>
  </authors>
  <commentList>
    <comment ref="D49" authorId="0" shapeId="0">
      <text>
        <t>What-if multipath loss (dB) applied instead of the LMP row. -20 dB is the AN5142 default for non-open paths. Change it to see the margin under other assumptions.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MTP-F26 Team C - Radio Team workbook</t>
        </is>
      </c>
    </row>
    <row r="2">
      <c r="A2" s="2" t="inlineStr">
        <is>
          <t>Owner: Radio Team (Santiago, Andrian, Marcos). Version 0.1, 2026-10-03.</t>
        </is>
      </c>
    </row>
    <row r="3">
      <c r="A3" t="inlineStr"/>
    </row>
    <row r="4">
      <c r="A4" s="3" t="inlineStr">
        <is>
          <t>Sheets</t>
        </is>
      </c>
    </row>
    <row r="5">
      <c r="A5" s="2" t="inlineStr">
        <is>
          <t>Link Budget - AN5142 rows (course-corrected), one column per scenario S1-S12. This is the ANNEX 'Link Budget Analysis' artefact.</t>
        </is>
      </c>
    </row>
    <row r="6">
      <c r="A6" s="2" t="inlineStr">
        <is>
          <t>Height Sweep - same budgets recomputed for antenna heights 0.5-1.5 m.</t>
        </is>
      </c>
    </row>
    <row r="7">
      <c r="A7" s="2" t="inlineStr">
        <is>
          <t>Throughput - lines delivered in 120 s per radio/data rate; occupied bandwidth check for the 250 kHz 868 sub-band.</t>
        </is>
      </c>
    </row>
    <row r="8">
      <c r="A8" s="2" t="inlineStr">
        <is>
          <t>Candidates - radio module shortlist with datasheet figures, gotchas and compliance notes.</t>
        </is>
      </c>
    </row>
    <row r="9">
      <c r="A9" s="2" t="inlineStr">
        <is>
          <t>Regulatory - CNAF 2017 bands usable for a 2-minute continuous round.</t>
        </is>
      </c>
    </row>
    <row r="10">
      <c r="A10" t="inlineStr"/>
    </row>
    <row r="11">
      <c r="A11" s="3" t="inlineStr">
        <is>
          <t>Legend</t>
        </is>
      </c>
    </row>
    <row r="12">
      <c r="A12" s="2" t="inlineStr">
        <is>
          <t>Blue text = input you may change. Black = formula. Green = link to another sheet.</t>
        </is>
      </c>
    </row>
    <row r="13">
      <c r="A13" s="2" t="inlineStr">
        <is>
          <t>Yellow fill = key assumption that must be replaced by a measurement (antenna gain in box, container loss, multipath, heights).</t>
        </is>
      </c>
    </row>
    <row r="14">
      <c r="A14" s="2" t="inlineStr">
        <is>
          <t>Green fill = results.</t>
        </is>
      </c>
    </row>
    <row r="15">
      <c r="A15" t="inlineStr"/>
    </row>
    <row r="16">
      <c r="A16" s="3" t="inlineStr">
        <is>
          <t>Model</t>
        </is>
      </c>
    </row>
    <row r="17">
      <c r="A17" s="2" t="inlineStr">
        <is>
          <t>P_R = EIRP + L_FS + L_GB + L0 + LMP + LObs + G_R + LConR. L_GB = 10log10(1 + a² - 2a|cos(2πΔd/λ)|): the course correction removes AN5142's 1/2 factor.</t>
        </is>
      </c>
    </row>
    <row r="18">
      <c r="A18" s="2" t="inlineStr">
        <is>
          <t>Beyond the breakpoint (x &lt; π/2) loss grows 40 dB/decade and is almost frequency-independent: antenna HEIGHT, TX power and RX sensitivity decide the link.</t>
        </is>
      </c>
    </row>
    <row r="19">
      <c r="A19" s="2" t="inlineStr">
        <is>
          <t>In the interference zone the |cos| envelope produces artificial nulls; real links fade between -∞ and +6 dB there. Measure.</t>
        </is>
      </c>
    </row>
    <row r="20">
      <c r="A20" t="inlineStr"/>
    </row>
    <row r="21">
      <c r="A21" s="3" t="inlineStr">
        <is>
          <t>How to use</t>
        </is>
      </c>
    </row>
    <row r="22">
      <c r="A22" s="2" t="inlineStr">
        <is>
          <t>1. Change blue cells in 'Link Budget' (e.g. antenna gain after measuring), read the margin rows.</t>
        </is>
      </c>
    </row>
    <row r="23">
      <c r="A23" s="2" t="inlineStr">
        <is>
          <t>2. The same model is in radio/linkbudget.py for quick what-ifs; radio/build_workbook.py regenerates this file.</t>
        </is>
      </c>
    </row>
    <row r="24">
      <c r="A24" s="2" t="inlineStr">
        <is>
          <t>3. Replace every yellow assumption with a measured value (tests T2 bench PER, T4/T5 range, T13 spectrum).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4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</cols>
  <sheetData>
    <row r="1">
      <c r="A1" s="1" t="inlineStr">
        <is>
          <t>MTP-F26 Team C - Radio link budget (course-corrected Maxim AN5142 method)</t>
        </is>
      </c>
    </row>
    <row r="2">
      <c r="A2" s="4" t="inlineStr">
        <is>
          <t>Blue = input, black = formula, yellow = key assumption to confirm by measurement. Losses are entered as NEGATIVE dB (AN5142 convention). Flat-earth uses the course correction (no 1/2 factor) and the course sheet's |cos| worst-case envelope.</t>
        </is>
      </c>
    </row>
    <row r="3">
      <c r="A3" s="5" t="inlineStr">
        <is>
          <t>Block</t>
        </is>
      </c>
      <c r="B3" s="5" t="inlineStr">
        <is>
          <t>Variable</t>
        </is>
      </c>
      <c r="C3" s="5" t="inlineStr">
        <is>
          <t>Units</t>
        </is>
      </c>
      <c r="D3" s="5" t="inlineStr">
        <is>
          <t>Equation / source</t>
        </is>
      </c>
      <c r="E3" s="5" t="inlineStr">
        <is>
          <t>S1</t>
        </is>
      </c>
      <c r="F3" s="5" t="inlineStr">
        <is>
          <t>S2</t>
        </is>
      </c>
      <c r="G3" s="5" t="inlineStr">
        <is>
          <t>S3</t>
        </is>
      </c>
      <c r="H3" s="5" t="inlineStr">
        <is>
          <t>S4</t>
        </is>
      </c>
      <c r="I3" s="5" t="inlineStr">
        <is>
          <t>S5</t>
        </is>
      </c>
      <c r="J3" s="5" t="inlineStr">
        <is>
          <t>S6</t>
        </is>
      </c>
      <c r="K3" s="5" t="inlineStr">
        <is>
          <t>S7</t>
        </is>
      </c>
      <c r="L3" s="5" t="inlineStr">
        <is>
          <t>S8</t>
        </is>
      </c>
      <c r="M3" s="5" t="inlineStr">
        <is>
          <t>S9</t>
        </is>
      </c>
      <c r="N3" s="5" t="inlineStr">
        <is>
          <t>S10</t>
        </is>
      </c>
      <c r="O3" s="5" t="inlineStr">
        <is>
          <t>S11</t>
        </is>
      </c>
      <c r="P3" s="5" t="inlineStr">
        <is>
          <t>S12</t>
        </is>
      </c>
      <c r="Q3" s="5" t="inlineStr">
        <is>
          <t>S13</t>
        </is>
      </c>
      <c r="R3" s="5" t="inlineStr">
        <is>
          <t>S14</t>
        </is>
      </c>
      <c r="S3" s="5" t="inlineStr">
        <is>
          <t>S15</t>
        </is>
      </c>
    </row>
    <row r="4">
      <c r="A4" s="6" t="inlineStr">
        <is>
          <t>Scenario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</row>
    <row r="5">
      <c r="A5" s="2" t="inlineStr">
        <is>
          <t>Round</t>
        </is>
      </c>
      <c r="B5" s="2" t="inlineStr"/>
      <c r="C5" s="2" t="inlineStr"/>
      <c r="D5" s="4" t="inlineStr">
        <is>
          <t>Rules PDF: SRI 70 m, MRM ~260 m, NM hop (distance unknown)</t>
        </is>
      </c>
      <c r="E5" s="8" t="inlineStr">
        <is>
          <t>SRI 70 m</t>
        </is>
      </c>
      <c r="F5" s="8" t="inlineStr">
        <is>
          <t>SRI 70 m</t>
        </is>
      </c>
      <c r="G5" s="8" t="inlineStr">
        <is>
          <t>SRI 70 m</t>
        </is>
      </c>
      <c r="H5" s="8" t="inlineStr">
        <is>
          <t>SRI 70 m</t>
        </is>
      </c>
      <c r="I5" s="8" t="inlineStr">
        <is>
          <t>SRI 70 m</t>
        </is>
      </c>
      <c r="J5" s="8" t="inlineStr">
        <is>
          <t>SRI 70 m</t>
        </is>
      </c>
      <c r="K5" s="8" t="inlineStr">
        <is>
          <t>MRM 260 m</t>
        </is>
      </c>
      <c r="L5" s="8" t="inlineStr">
        <is>
          <t>MRM 260 m</t>
        </is>
      </c>
      <c r="M5" s="8" t="inlineStr">
        <is>
          <t>MRM 260 m</t>
        </is>
      </c>
      <c r="N5" s="8" t="inlineStr">
        <is>
          <t>MRM 260 m</t>
        </is>
      </c>
      <c r="O5" s="8" t="inlineStr">
        <is>
          <t>NM hop 100 m</t>
        </is>
      </c>
      <c r="P5" s="8" t="inlineStr">
        <is>
          <t>NM hop 100 m</t>
        </is>
      </c>
      <c r="Q5" s="8" t="inlineStr">
        <is>
          <t>MRM 260 m</t>
        </is>
      </c>
      <c r="R5" s="8" t="inlineStr">
        <is>
          <t>NM hop 100 m</t>
        </is>
      </c>
      <c r="S5" s="8" t="inlineStr">
        <is>
          <t>Bench 70 m</t>
        </is>
      </c>
    </row>
    <row r="6" ht="42" customHeight="1">
      <c r="A6" s="2" t="inlineStr">
        <is>
          <t>Radio / configuration</t>
        </is>
      </c>
      <c r="B6" s="2" t="inlineStr"/>
      <c r="C6" s="2" t="inlineStr"/>
      <c r="D6" s="4" t="inlineStr"/>
      <c r="E6" s="8" t="inlineStr">
        <is>
          <t>RFM69HCW 868 | 38.4 kbps</t>
        </is>
      </c>
      <c r="F6" s="8" t="inlineStr">
        <is>
          <t>RFM69HCW 868 | 100 kbps</t>
        </is>
      </c>
      <c r="G6" s="8" t="inlineStr">
        <is>
          <t>Si4463 868 | 100 kbps</t>
        </is>
      </c>
      <c r="H6" s="8" t="inlineStr">
        <is>
          <t>CC1101 868 | 38.4 kbps</t>
        </is>
      </c>
      <c r="I6" s="8" t="inlineStr">
        <is>
          <t>nRF24 2.4G | 1 Mbps</t>
        </is>
      </c>
      <c r="J6" s="8" t="inlineStr">
        <is>
          <t>nRF24 2.4G | 2 Mbps</t>
        </is>
      </c>
      <c r="K6" s="8" t="inlineStr">
        <is>
          <t>RFM69HCW 868 | 38.4 kbps</t>
        </is>
      </c>
      <c r="L6" s="8" t="inlineStr">
        <is>
          <t>Si4463 868 | 100 kbps</t>
        </is>
      </c>
      <c r="M6" s="8" t="inlineStr">
        <is>
          <t>nRF24 2.4G | 250 kbps</t>
        </is>
      </c>
      <c r="N6" s="8" t="inlineStr">
        <is>
          <t>nRF24 2.4G | 250 kbps, 8 dBi patches</t>
        </is>
      </c>
      <c r="O6" s="8" t="inlineStr">
        <is>
          <t>RFM69HCW 868 | 38.4 kbps, -10 dB obstr.</t>
        </is>
      </c>
      <c r="P6" s="8" t="inlineStr">
        <is>
          <t>nRF24 2.4G | 250 kbps, -10 dB obstr.</t>
        </is>
      </c>
      <c r="Q6" s="8" t="inlineStr">
        <is>
          <t>RFM69HCW 868 | 100 kbps (baseline)</t>
        </is>
      </c>
      <c r="R6" s="8" t="inlineStr">
        <is>
          <t>RFM69HCW 868 | 100 kbps, -10 dB obstr. (baseline)</t>
        </is>
      </c>
      <c r="S6" s="8" t="inlineStr">
        <is>
          <t>RFM69HCW 869.85 | 100 kbps, +9 dBm (BENCH_5MW)</t>
        </is>
      </c>
    </row>
    <row r="7">
      <c r="A7" s="2" t="inlineStr">
        <is>
          <t>Air data rate</t>
        </is>
      </c>
      <c r="B7" s="2" t="inlineStr">
        <is>
          <t>R</t>
        </is>
      </c>
      <c r="C7" s="2" t="inlineStr">
        <is>
          <t>kbps</t>
        </is>
      </c>
      <c r="D7" s="4" t="inlineStr">
        <is>
          <t>Rate the sensitivity refers to</t>
        </is>
      </c>
      <c r="E7" s="9" t="n">
        <v>38.4</v>
      </c>
      <c r="F7" s="9" t="n">
        <v>100</v>
      </c>
      <c r="G7" s="9" t="n">
        <v>100</v>
      </c>
      <c r="H7" s="9" t="n">
        <v>38.4</v>
      </c>
      <c r="I7" s="9" t="n">
        <v>1000</v>
      </c>
      <c r="J7" s="9" t="n">
        <v>2000</v>
      </c>
      <c r="K7" s="9" t="n">
        <v>38.4</v>
      </c>
      <c r="L7" s="9" t="n">
        <v>100</v>
      </c>
      <c r="M7" s="9" t="n">
        <v>250</v>
      </c>
      <c r="N7" s="9" t="n">
        <v>250</v>
      </c>
      <c r="O7" s="9" t="n">
        <v>38.4</v>
      </c>
      <c r="P7" s="9" t="n">
        <v>250</v>
      </c>
      <c r="Q7" s="9" t="n">
        <v>100</v>
      </c>
      <c r="R7" s="9" t="n">
        <v>100</v>
      </c>
      <c r="S7" s="9" t="n">
        <v>100</v>
      </c>
    </row>
    <row r="8">
      <c r="A8" s="2" t="inlineStr">
        <is>
          <t>Regulatory limit type</t>
        </is>
      </c>
      <c r="B8" s="2" t="inlineStr"/>
      <c r="C8" s="2" t="inlineStr"/>
      <c r="D8" s="4" t="inlineStr">
        <is>
          <t>868: e.r.p. (UN-39); 2.4 GHz: e.i.r.p. (UN-85 b)</t>
        </is>
      </c>
      <c r="E8" s="10" t="inlineStr">
        <is>
          <t>ERP</t>
        </is>
      </c>
      <c r="F8" s="10" t="inlineStr">
        <is>
          <t>ERP</t>
        </is>
      </c>
      <c r="G8" s="10" t="inlineStr">
        <is>
          <t>ERP</t>
        </is>
      </c>
      <c r="H8" s="10" t="inlineStr">
        <is>
          <t>ERP</t>
        </is>
      </c>
      <c r="I8" s="10" t="inlineStr">
        <is>
          <t>EIRP</t>
        </is>
      </c>
      <c r="J8" s="10" t="inlineStr">
        <is>
          <t>EIRP</t>
        </is>
      </c>
      <c r="K8" s="10" t="inlineStr">
        <is>
          <t>ERP</t>
        </is>
      </c>
      <c r="L8" s="10" t="inlineStr">
        <is>
          <t>ERP</t>
        </is>
      </c>
      <c r="M8" s="10" t="inlineStr">
        <is>
          <t>EIRP</t>
        </is>
      </c>
      <c r="N8" s="10" t="inlineStr">
        <is>
          <t>EIRP</t>
        </is>
      </c>
      <c r="O8" s="10" t="inlineStr">
        <is>
          <t>ERP</t>
        </is>
      </c>
      <c r="P8" s="10" t="inlineStr">
        <is>
          <t>EIRP</t>
        </is>
      </c>
      <c r="Q8" s="10" t="inlineStr">
        <is>
          <t>ERP</t>
        </is>
      </c>
      <c r="R8" s="10" t="inlineStr">
        <is>
          <t>ERP</t>
        </is>
      </c>
      <c r="S8" s="10" t="inlineStr">
        <is>
          <t>ERP</t>
        </is>
      </c>
    </row>
    <row r="9">
      <c r="A9" s="2" t="inlineStr">
        <is>
          <t>Regulatory power limit</t>
        </is>
      </c>
      <c r="B9" s="2" t="inlineStr">
        <is>
          <t>Plim</t>
        </is>
      </c>
      <c r="C9" s="2" t="inlineStr">
        <is>
          <t>dBm</t>
        </is>
      </c>
      <c r="D9" s="4" t="inlineStr">
        <is>
          <t>500 mW e.r.p. = 27 dBm; 10 mW e.i.r.p. = 10 dBm</t>
        </is>
      </c>
      <c r="E9" s="11" t="n">
        <v>27</v>
      </c>
      <c r="F9" s="11" t="n">
        <v>27</v>
      </c>
      <c r="G9" s="11" t="n">
        <v>27</v>
      </c>
      <c r="H9" s="11" t="n">
        <v>27</v>
      </c>
      <c r="I9" s="11" t="n">
        <v>10</v>
      </c>
      <c r="J9" s="11" t="n">
        <v>10</v>
      </c>
      <c r="K9" s="11" t="n">
        <v>27</v>
      </c>
      <c r="L9" s="11" t="n">
        <v>27</v>
      </c>
      <c r="M9" s="11" t="n">
        <v>10</v>
      </c>
      <c r="N9" s="11" t="n">
        <v>10</v>
      </c>
      <c r="O9" s="11" t="n">
        <v>27</v>
      </c>
      <c r="P9" s="11" t="n">
        <v>10</v>
      </c>
      <c r="Q9" s="11" t="n">
        <v>27</v>
      </c>
      <c r="R9" s="11" t="n">
        <v>27</v>
      </c>
      <c r="S9" s="11" t="n">
        <v>7</v>
      </c>
    </row>
    <row r="10">
      <c r="A10" s="6" t="inlineStr">
        <is>
          <t>System variables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2" t="inlineStr">
        <is>
          <t>Frequency</t>
        </is>
      </c>
      <c r="B11" s="2" t="inlineStr">
        <is>
          <t>f0</t>
        </is>
      </c>
      <c r="C11" s="2" t="inlineStr">
        <is>
          <t>MHz</t>
        </is>
      </c>
      <c r="D11" s="4" t="inlineStr">
        <is>
          <t>869.525 = centre of 869.40-869.65 MHz</t>
        </is>
      </c>
      <c r="E11" s="12" t="n">
        <v>869.525</v>
      </c>
      <c r="F11" s="12" t="n">
        <v>869.525</v>
      </c>
      <c r="G11" s="12" t="n">
        <v>869.525</v>
      </c>
      <c r="H11" s="12" t="n">
        <v>869.525</v>
      </c>
      <c r="I11" s="12" t="n">
        <v>2440</v>
      </c>
      <c r="J11" s="12" t="n">
        <v>2440</v>
      </c>
      <c r="K11" s="12" t="n">
        <v>869.525</v>
      </c>
      <c r="L11" s="12" t="n">
        <v>869.525</v>
      </c>
      <c r="M11" s="12" t="n">
        <v>2440</v>
      </c>
      <c r="N11" s="12" t="n">
        <v>2440</v>
      </c>
      <c r="O11" s="12" t="n">
        <v>869.525</v>
      </c>
      <c r="P11" s="12" t="n">
        <v>2440</v>
      </c>
      <c r="Q11" s="12" t="n">
        <v>869.525</v>
      </c>
      <c r="R11" s="12" t="n">
        <v>869.525</v>
      </c>
      <c r="S11" s="12" t="n">
        <v>869.85</v>
      </c>
    </row>
    <row r="12">
      <c r="A12" s="2" t="inlineStr">
        <is>
          <t>Speed of light</t>
        </is>
      </c>
      <c r="B12" s="2" t="inlineStr">
        <is>
          <t>c</t>
        </is>
      </c>
      <c r="C12" s="2" t="inlineStr">
        <is>
          <t>m/s</t>
        </is>
      </c>
      <c r="D12" s="4" t="inlineStr">
        <is>
          <t>constant</t>
        </is>
      </c>
      <c r="E12" s="13" t="n">
        <v>299792458</v>
      </c>
      <c r="F12" s="13" t="n">
        <v>299792458</v>
      </c>
      <c r="G12" s="13" t="n">
        <v>299792458</v>
      </c>
      <c r="H12" s="13" t="n">
        <v>299792458</v>
      </c>
      <c r="I12" s="13" t="n">
        <v>299792458</v>
      </c>
      <c r="J12" s="13" t="n">
        <v>299792458</v>
      </c>
      <c r="K12" s="13" t="n">
        <v>299792458</v>
      </c>
      <c r="L12" s="13" t="n">
        <v>299792458</v>
      </c>
      <c r="M12" s="13" t="n">
        <v>299792458</v>
      </c>
      <c r="N12" s="13" t="n">
        <v>299792458</v>
      </c>
      <c r="O12" s="13" t="n">
        <v>299792458</v>
      </c>
      <c r="P12" s="13" t="n">
        <v>299792458</v>
      </c>
      <c r="Q12" s="13" t="n">
        <v>299792458</v>
      </c>
      <c r="R12" s="13" t="n">
        <v>299792458</v>
      </c>
      <c r="S12" s="13" t="n">
        <v>299792458</v>
      </c>
    </row>
    <row r="13">
      <c r="A13" s="2" t="inlineStr">
        <is>
          <t>Wavelength</t>
        </is>
      </c>
      <c r="B13" s="2" t="inlineStr">
        <is>
          <t>λ</t>
        </is>
      </c>
      <c r="C13" s="2" t="inlineStr">
        <is>
          <t>m</t>
        </is>
      </c>
      <c r="D13" s="4" t="inlineStr">
        <is>
          <t>λ = c / f0</t>
        </is>
      </c>
      <c r="E13" s="14">
        <f>E12/(E11*1000000)</f>
        <v/>
      </c>
      <c r="F13" s="14">
        <f>F12/(F11*1000000)</f>
        <v/>
      </c>
      <c r="G13" s="14">
        <f>G12/(G11*1000000)</f>
        <v/>
      </c>
      <c r="H13" s="14">
        <f>H12/(H11*1000000)</f>
        <v/>
      </c>
      <c r="I13" s="14">
        <f>I12/(I11*1000000)</f>
        <v/>
      </c>
      <c r="J13" s="14">
        <f>J12/(J11*1000000)</f>
        <v/>
      </c>
      <c r="K13" s="14">
        <f>K12/(K11*1000000)</f>
        <v/>
      </c>
      <c r="L13" s="14">
        <f>L12/(L11*1000000)</f>
        <v/>
      </c>
      <c r="M13" s="14">
        <f>M12/(M11*1000000)</f>
        <v/>
      </c>
      <c r="N13" s="14">
        <f>N12/(N11*1000000)</f>
        <v/>
      </c>
      <c r="O13" s="14">
        <f>O12/(O11*1000000)</f>
        <v/>
      </c>
      <c r="P13" s="14">
        <f>P12/(P11*1000000)</f>
        <v/>
      </c>
      <c r="Q13" s="14">
        <f>Q12/(Q11*1000000)</f>
        <v/>
      </c>
      <c r="R13" s="14">
        <f>R12/(R11*1000000)</f>
        <v/>
      </c>
      <c r="S13" s="14">
        <f>S12/(S11*1000000)</f>
        <v/>
      </c>
    </row>
    <row r="14">
      <c r="A14" s="6" t="inlineStr">
        <is>
          <t>Transmitter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</row>
    <row r="15">
      <c r="A15" s="2" t="inlineStr">
        <is>
          <t>PA power</t>
        </is>
      </c>
      <c r="B15" s="2" t="inlineStr">
        <is>
          <t>PPA</t>
        </is>
      </c>
      <c r="C15" s="2" t="inlineStr">
        <is>
          <t>dBm</t>
        </is>
      </c>
      <c r="D15" s="4" t="inlineStr">
        <is>
          <t>Module setting (see Candidates sheet for limits)</t>
        </is>
      </c>
      <c r="E15" s="11" t="n">
        <v>17</v>
      </c>
      <c r="F15" s="11" t="n">
        <v>17</v>
      </c>
      <c r="G15" s="11" t="n">
        <v>20</v>
      </c>
      <c r="H15" s="11" t="n">
        <v>12</v>
      </c>
      <c r="I15" s="11" t="n">
        <v>0</v>
      </c>
      <c r="J15" s="11" t="n">
        <v>0</v>
      </c>
      <c r="K15" s="11" t="n">
        <v>17</v>
      </c>
      <c r="L15" s="11" t="n">
        <v>20</v>
      </c>
      <c r="M15" s="11" t="n">
        <v>0</v>
      </c>
      <c r="N15" s="11" t="n">
        <v>0</v>
      </c>
      <c r="O15" s="11" t="n">
        <v>17</v>
      </c>
      <c r="P15" s="11" t="n">
        <v>0</v>
      </c>
      <c r="Q15" s="11" t="n">
        <v>17</v>
      </c>
      <c r="R15" s="11" t="n">
        <v>17</v>
      </c>
      <c r="S15" s="11" t="n">
        <v>9</v>
      </c>
    </row>
    <row r="16">
      <c r="A16" s="2" t="inlineStr">
        <is>
          <t>TX match loss</t>
        </is>
      </c>
      <c r="B16" s="2" t="inlineStr">
        <is>
          <t>LMatchT</t>
        </is>
      </c>
      <c r="C16" s="2" t="inlineStr">
        <is>
          <t>dB</t>
        </is>
      </c>
      <c r="D16" s="4" t="inlineStr">
        <is>
          <t>ASSUMPTION</t>
        </is>
      </c>
      <c r="E16" s="11" t="n">
        <v>-0.5</v>
      </c>
      <c r="F16" s="11" t="n">
        <v>-0.5</v>
      </c>
      <c r="G16" s="11" t="n">
        <v>-0.5</v>
      </c>
      <c r="H16" s="11" t="n">
        <v>-0.5</v>
      </c>
      <c r="I16" s="11" t="n">
        <v>0</v>
      </c>
      <c r="J16" s="11" t="n">
        <v>0</v>
      </c>
      <c r="K16" s="11" t="n">
        <v>-0.5</v>
      </c>
      <c r="L16" s="11" t="n">
        <v>-0.5</v>
      </c>
      <c r="M16" s="11" t="n">
        <v>0</v>
      </c>
      <c r="N16" s="11" t="n">
        <v>0</v>
      </c>
      <c r="O16" s="11" t="n">
        <v>-0.5</v>
      </c>
      <c r="P16" s="11" t="n">
        <v>0</v>
      </c>
      <c r="Q16" s="11" t="n">
        <v>-0.5</v>
      </c>
      <c r="R16" s="11" t="n">
        <v>-0.5</v>
      </c>
      <c r="S16" s="11" t="n">
        <v>-0.5</v>
      </c>
    </row>
    <row r="17">
      <c r="A17" s="2" t="inlineStr">
        <is>
          <t>TX connector/cable loss</t>
        </is>
      </c>
      <c r="B17" s="2" t="inlineStr">
        <is>
          <t>LConT</t>
        </is>
      </c>
      <c r="C17" s="2" t="inlineStr">
        <is>
          <t>dB</t>
        </is>
      </c>
      <c r="D17" s="4" t="inlineStr">
        <is>
          <t>0 if antenna soldered on PCB</t>
        </is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</row>
    <row r="18">
      <c r="A18" s="2" t="inlineStr">
        <is>
          <t>TX power at antenna</t>
        </is>
      </c>
      <c r="B18" s="2" t="inlineStr">
        <is>
          <t>PT</t>
        </is>
      </c>
      <c r="C18" s="2" t="inlineStr">
        <is>
          <t>dBm</t>
        </is>
      </c>
      <c r="D18" s="4" t="inlineStr">
        <is>
          <t>PT = PPA + LMatchT + LConT</t>
        </is>
      </c>
      <c r="E18" s="15">
        <f>E15+E16+E17</f>
        <v/>
      </c>
      <c r="F18" s="15">
        <f>F15+F16+F17</f>
        <v/>
      </c>
      <c r="G18" s="15">
        <f>G15+G16+G17</f>
        <v/>
      </c>
      <c r="H18" s="15">
        <f>H15+H16+H17</f>
        <v/>
      </c>
      <c r="I18" s="15">
        <f>I15+I16+I17</f>
        <v/>
      </c>
      <c r="J18" s="15">
        <f>J15+J16+J17</f>
        <v/>
      </c>
      <c r="K18" s="15">
        <f>K15+K16+K17</f>
        <v/>
      </c>
      <c r="L18" s="15">
        <f>L15+L16+L17</f>
        <v/>
      </c>
      <c r="M18" s="15">
        <f>M15+M16+M17</f>
        <v/>
      </c>
      <c r="N18" s="15">
        <f>N15+N16+N17</f>
        <v/>
      </c>
      <c r="O18" s="15">
        <f>O15+O16+O17</f>
        <v/>
      </c>
      <c r="P18" s="15">
        <f>P15+P16+P17</f>
        <v/>
      </c>
      <c r="Q18" s="15">
        <f>Q15+Q16+Q17</f>
        <v/>
      </c>
      <c r="R18" s="15">
        <f>R15+R16+R17</f>
        <v/>
      </c>
      <c r="S18" s="15">
        <f>S15+S16+S17</f>
        <v/>
      </c>
    </row>
    <row r="19">
      <c r="A19" s="2" t="inlineStr">
        <is>
          <t>TX antenna gain (in box)</t>
        </is>
      </c>
      <c r="B19" s="2" t="inlineStr">
        <is>
          <t>GT</t>
        </is>
      </c>
      <c r="C19" s="2" t="inlineStr">
        <is>
          <t>dBi</t>
        </is>
      </c>
      <c r="D19" s="4" t="inlineStr">
        <is>
          <t>ASSUMPTION: incl. efficiency/detuning inside container</t>
        </is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2</v>
      </c>
      <c r="J19" s="16" t="n">
        <v>2</v>
      </c>
      <c r="K19" s="16" t="n">
        <v>0</v>
      </c>
      <c r="L19" s="16" t="n">
        <v>0</v>
      </c>
      <c r="M19" s="16" t="n">
        <v>2</v>
      </c>
      <c r="N19" s="16" t="n">
        <v>8</v>
      </c>
      <c r="O19" s="16" t="n">
        <v>0</v>
      </c>
      <c r="P19" s="16" t="n">
        <v>2</v>
      </c>
      <c r="Q19" s="16" t="n">
        <v>0</v>
      </c>
      <c r="R19" s="16" t="n">
        <v>0</v>
      </c>
      <c r="S19" s="16" t="n">
        <v>0</v>
      </c>
    </row>
    <row r="20">
      <c r="A20" s="2" t="inlineStr">
        <is>
          <t>EIRP</t>
        </is>
      </c>
      <c r="B20" s="2" t="inlineStr">
        <is>
          <t>EIRP</t>
        </is>
      </c>
      <c r="C20" s="2" t="inlineStr">
        <is>
          <t>dBm</t>
        </is>
      </c>
      <c r="D20" s="4" t="inlineStr">
        <is>
          <t>EIRP = PT + GT</t>
        </is>
      </c>
      <c r="E20" s="15">
        <f>E18+E19</f>
        <v/>
      </c>
      <c r="F20" s="15">
        <f>F18+F19</f>
        <v/>
      </c>
      <c r="G20" s="15">
        <f>G18+G19</f>
        <v/>
      </c>
      <c r="H20" s="15">
        <f>H18+H19</f>
        <v/>
      </c>
      <c r="I20" s="15">
        <f>I18+I19</f>
        <v/>
      </c>
      <c r="J20" s="15">
        <f>J18+J19</f>
        <v/>
      </c>
      <c r="K20" s="15">
        <f>K18+K19</f>
        <v/>
      </c>
      <c r="L20" s="15">
        <f>L18+L19</f>
        <v/>
      </c>
      <c r="M20" s="15">
        <f>M18+M19</f>
        <v/>
      </c>
      <c r="N20" s="15">
        <f>N18+N19</f>
        <v/>
      </c>
      <c r="O20" s="15">
        <f>O18+O19</f>
        <v/>
      </c>
      <c r="P20" s="15">
        <f>P18+P19</f>
        <v/>
      </c>
      <c r="Q20" s="15">
        <f>Q18+Q19</f>
        <v/>
      </c>
      <c r="R20" s="15">
        <f>R18+R19</f>
        <v/>
      </c>
      <c r="S20" s="15">
        <f>S18+S19</f>
        <v/>
      </c>
    </row>
    <row r="21">
      <c r="A21" s="2" t="inlineStr">
        <is>
          <t>ERP</t>
        </is>
      </c>
      <c r="B21" s="2" t="inlineStr">
        <is>
          <t>ERP</t>
        </is>
      </c>
      <c r="C21" s="2" t="inlineStr">
        <is>
          <t>dBm</t>
        </is>
      </c>
      <c r="D21" s="4" t="inlineStr">
        <is>
          <t>ERP = EIRP - 2.15</t>
        </is>
      </c>
      <c r="E21" s="15">
        <f>E20-2.15</f>
        <v/>
      </c>
      <c r="F21" s="15">
        <f>F20-2.15</f>
        <v/>
      </c>
      <c r="G21" s="15">
        <f>G20-2.15</f>
        <v/>
      </c>
      <c r="H21" s="15">
        <f>H20-2.15</f>
        <v/>
      </c>
      <c r="I21" s="15">
        <f>I20-2.15</f>
        <v/>
      </c>
      <c r="J21" s="15">
        <f>J20-2.15</f>
        <v/>
      </c>
      <c r="K21" s="15">
        <f>K20-2.15</f>
        <v/>
      </c>
      <c r="L21" s="15">
        <f>L20-2.15</f>
        <v/>
      </c>
      <c r="M21" s="15">
        <f>M20-2.15</f>
        <v/>
      </c>
      <c r="N21" s="15">
        <f>N20-2.15</f>
        <v/>
      </c>
      <c r="O21" s="15">
        <f>O20-2.15</f>
        <v/>
      </c>
      <c r="P21" s="15">
        <f>P20-2.15</f>
        <v/>
      </c>
      <c r="Q21" s="15">
        <f>Q20-2.15</f>
        <v/>
      </c>
      <c r="R21" s="15">
        <f>R20-2.15</f>
        <v/>
      </c>
      <c r="S21" s="15">
        <f>S20-2.15</f>
        <v/>
      </c>
    </row>
    <row r="22">
      <c r="A22" s="2" t="inlineStr">
        <is>
          <t>Regulatory check</t>
        </is>
      </c>
      <c r="B22" s="2" t="inlineStr"/>
      <c r="C22" s="2" t="inlineStr"/>
      <c r="D22" s="4" t="inlineStr">
        <is>
          <t>Compare ERP or EIRP with limit</t>
        </is>
      </c>
      <c r="E22" s="17">
        <f>IF(IF(E8="ERP",E21,E20)&lt;=E9,"OK","OVER LIMIT")</f>
        <v/>
      </c>
      <c r="F22" s="17">
        <f>IF(IF(F8="ERP",F21,F20)&lt;=F9,"OK","OVER LIMIT")</f>
        <v/>
      </c>
      <c r="G22" s="17">
        <f>IF(IF(G8="ERP",G21,G20)&lt;=G9,"OK","OVER LIMIT")</f>
        <v/>
      </c>
      <c r="H22" s="17">
        <f>IF(IF(H8="ERP",H21,H20)&lt;=H9,"OK","OVER LIMIT")</f>
        <v/>
      </c>
      <c r="I22" s="17">
        <f>IF(IF(I8="ERP",I21,I20)&lt;=I9,"OK","OVER LIMIT")</f>
        <v/>
      </c>
      <c r="J22" s="17">
        <f>IF(IF(J8="ERP",J21,J20)&lt;=J9,"OK","OVER LIMIT")</f>
        <v/>
      </c>
      <c r="K22" s="17">
        <f>IF(IF(K8="ERP",K21,K20)&lt;=K9,"OK","OVER LIMIT")</f>
        <v/>
      </c>
      <c r="L22" s="17">
        <f>IF(IF(L8="ERP",L21,L20)&lt;=L9,"OK","OVER LIMIT")</f>
        <v/>
      </c>
      <c r="M22" s="17">
        <f>IF(IF(M8="ERP",M21,M20)&lt;=M9,"OK","OVER LIMIT")</f>
        <v/>
      </c>
      <c r="N22" s="17">
        <f>IF(IF(N8="ERP",N21,N20)&lt;=N9,"OK","OVER LIMIT")</f>
        <v/>
      </c>
      <c r="O22" s="17">
        <f>IF(IF(O8="ERP",O21,O20)&lt;=O9,"OK","OVER LIMIT")</f>
        <v/>
      </c>
      <c r="P22" s="17">
        <f>IF(IF(P8="ERP",P21,P20)&lt;=P9,"OK","OVER LIMIT")</f>
        <v/>
      </c>
      <c r="Q22" s="17">
        <f>IF(IF(Q8="ERP",Q21,Q20)&lt;=Q9,"OK","OVER LIMIT")</f>
        <v/>
      </c>
      <c r="R22" s="17">
        <f>IF(IF(R8="ERP",R21,R20)&lt;=R9,"OK","OVER LIMIT")</f>
        <v/>
      </c>
      <c r="S22" s="17">
        <f>IF(IF(S8="ERP",S21,S20)&lt;=S9,"OK","OVER LIMIT")</f>
        <v/>
      </c>
    </row>
    <row r="23">
      <c r="A23" s="6" t="inlineStr">
        <is>
          <t>Path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>
      <c r="A24" s="2" t="inlineStr">
        <is>
          <t>Distance</t>
        </is>
      </c>
      <c r="B24" s="2" t="inlineStr">
        <is>
          <t>d</t>
        </is>
      </c>
      <c r="C24" s="2" t="inlineStr">
        <is>
          <t>m</t>
        </is>
      </c>
      <c r="D24" s="4" t="inlineStr"/>
      <c r="E24" s="13" t="n">
        <v>70</v>
      </c>
      <c r="F24" s="13" t="n">
        <v>70</v>
      </c>
      <c r="G24" s="13" t="n">
        <v>70</v>
      </c>
      <c r="H24" s="13" t="n">
        <v>70</v>
      </c>
      <c r="I24" s="13" t="n">
        <v>70</v>
      </c>
      <c r="J24" s="13" t="n">
        <v>70</v>
      </c>
      <c r="K24" s="13" t="n">
        <v>260</v>
      </c>
      <c r="L24" s="13" t="n">
        <v>260</v>
      </c>
      <c r="M24" s="13" t="n">
        <v>260</v>
      </c>
      <c r="N24" s="13" t="n">
        <v>260</v>
      </c>
      <c r="O24" s="13" t="n">
        <v>100</v>
      </c>
      <c r="P24" s="13" t="n">
        <v>100</v>
      </c>
      <c r="Q24" s="13" t="n">
        <v>260</v>
      </c>
      <c r="R24" s="13" t="n">
        <v>100</v>
      </c>
      <c r="S24" s="13" t="n">
        <v>70</v>
      </c>
    </row>
    <row r="25">
      <c r="A25" s="2" t="inlineStr">
        <is>
          <t>TX antenna height</t>
        </is>
      </c>
      <c r="B25" s="2" t="inlineStr">
        <is>
          <t>hTX</t>
        </is>
      </c>
      <c r="C25" s="2" t="inlineStr">
        <is>
          <t>m</t>
        </is>
      </c>
      <c r="D25" s="4" t="inlineStr">
        <is>
          <t>70 cm support [RULE 'about 70 cm'] + position in box</t>
        </is>
      </c>
      <c r="E25" s="18" t="n">
        <v>0.75</v>
      </c>
      <c r="F25" s="18" t="n">
        <v>0.75</v>
      </c>
      <c r="G25" s="18" t="n">
        <v>0.75</v>
      </c>
      <c r="H25" s="18" t="n">
        <v>0.75</v>
      </c>
      <c r="I25" s="18" t="n">
        <v>0.75</v>
      </c>
      <c r="J25" s="18" t="n">
        <v>0.75</v>
      </c>
      <c r="K25" s="18" t="n">
        <v>0.75</v>
      </c>
      <c r="L25" s="18" t="n">
        <v>0.75</v>
      </c>
      <c r="M25" s="18" t="n">
        <v>0.75</v>
      </c>
      <c r="N25" s="18" t="n">
        <v>0.75</v>
      </c>
      <c r="O25" s="18" t="n">
        <v>0.75</v>
      </c>
      <c r="P25" s="18" t="n">
        <v>0.75</v>
      </c>
      <c r="Q25" s="18" t="n">
        <v>0.75</v>
      </c>
      <c r="R25" s="18" t="n">
        <v>0.75</v>
      </c>
      <c r="S25" s="18" t="n">
        <v>0.75</v>
      </c>
    </row>
    <row r="26">
      <c r="A26" s="2" t="inlineStr">
        <is>
          <t>RX antenna height</t>
        </is>
      </c>
      <c r="B26" s="2" t="inlineStr">
        <is>
          <t>hRX</t>
        </is>
      </c>
      <c r="C26" s="2" t="inlineStr">
        <is>
          <t>m</t>
        </is>
      </c>
      <c r="D26" s="4" t="inlineStr"/>
      <c r="E26" s="18" t="n">
        <v>0.75</v>
      </c>
      <c r="F26" s="18" t="n">
        <v>0.75</v>
      </c>
      <c r="G26" s="18" t="n">
        <v>0.75</v>
      </c>
      <c r="H26" s="18" t="n">
        <v>0.75</v>
      </c>
      <c r="I26" s="18" t="n">
        <v>0.75</v>
      </c>
      <c r="J26" s="18" t="n">
        <v>0.75</v>
      </c>
      <c r="K26" s="18" t="n">
        <v>0.75</v>
      </c>
      <c r="L26" s="18" t="n">
        <v>0.75</v>
      </c>
      <c r="M26" s="18" t="n">
        <v>0.75</v>
      </c>
      <c r="N26" s="18" t="n">
        <v>0.75</v>
      </c>
      <c r="O26" s="18" t="n">
        <v>0.75</v>
      </c>
      <c r="P26" s="18" t="n">
        <v>0.75</v>
      </c>
      <c r="Q26" s="18" t="n">
        <v>0.75</v>
      </c>
      <c r="R26" s="18" t="n">
        <v>0.75</v>
      </c>
      <c r="S26" s="18" t="n">
        <v>0.75</v>
      </c>
    </row>
    <row r="27">
      <c r="A27" s="2" t="inlineStr">
        <is>
          <t>Ground bounce amplitude</t>
        </is>
      </c>
      <c r="B27" s="2" t="inlineStr">
        <is>
          <t>a</t>
        </is>
      </c>
      <c r="C27" s="2" t="inlineStr">
        <is>
          <t>-</t>
        </is>
      </c>
      <c r="D27" s="4" t="inlineStr">
        <is>
          <t>1 = worst case (course sheet default)</t>
        </is>
      </c>
      <c r="E27" s="19" t="n">
        <v>1</v>
      </c>
      <c r="F27" s="19" t="n">
        <v>1</v>
      </c>
      <c r="G27" s="19" t="n">
        <v>1</v>
      </c>
      <c r="H27" s="19" t="n">
        <v>1</v>
      </c>
      <c r="I27" s="19" t="n">
        <v>1</v>
      </c>
      <c r="J27" s="19" t="n">
        <v>1</v>
      </c>
      <c r="K27" s="19" t="n">
        <v>1</v>
      </c>
      <c r="L27" s="19" t="n">
        <v>1</v>
      </c>
      <c r="M27" s="19" t="n">
        <v>1</v>
      </c>
      <c r="N27" s="19" t="n">
        <v>1</v>
      </c>
      <c r="O27" s="19" t="n">
        <v>1</v>
      </c>
      <c r="P27" s="19" t="n">
        <v>1</v>
      </c>
      <c r="Q27" s="19" t="n">
        <v>1</v>
      </c>
      <c r="R27" s="19" t="n">
        <v>1</v>
      </c>
      <c r="S27" s="19" t="n">
        <v>1</v>
      </c>
    </row>
    <row r="28">
      <c r="A28" s="2" t="inlineStr">
        <is>
          <t>Reflection path Δ</t>
        </is>
      </c>
      <c r="B28" s="2" t="inlineStr">
        <is>
          <t>Δd</t>
        </is>
      </c>
      <c r="C28" s="2" t="inlineStr">
        <is>
          <t>m</t>
        </is>
      </c>
      <c r="D28" s="4" t="inlineStr">
        <is>
          <t>Δd = √(d²+(hTX+hRX)²) - √(d²+(hTX-hRX)²)</t>
        </is>
      </c>
      <c r="E28" s="20">
        <f>SQRT(E24^2+(E25+E26)^2)-SQRT(E24^2+(E25-E26)^2)</f>
        <v/>
      </c>
      <c r="F28" s="20">
        <f>SQRT(F24^2+(F25+F26)^2)-SQRT(F24^2+(F25-F26)^2)</f>
        <v/>
      </c>
      <c r="G28" s="20">
        <f>SQRT(G24^2+(G25+G26)^2)-SQRT(G24^2+(G25-G26)^2)</f>
        <v/>
      </c>
      <c r="H28" s="20">
        <f>SQRT(H24^2+(H25+H26)^2)-SQRT(H24^2+(H25-H26)^2)</f>
        <v/>
      </c>
      <c r="I28" s="20">
        <f>SQRT(I24^2+(I25+I26)^2)-SQRT(I24^2+(I25-I26)^2)</f>
        <v/>
      </c>
      <c r="J28" s="20">
        <f>SQRT(J24^2+(J25+J26)^2)-SQRT(J24^2+(J25-J26)^2)</f>
        <v/>
      </c>
      <c r="K28" s="20">
        <f>SQRT(K24^2+(K25+K26)^2)-SQRT(K24^2+(K25-K26)^2)</f>
        <v/>
      </c>
      <c r="L28" s="20">
        <f>SQRT(L24^2+(L25+L26)^2)-SQRT(L24^2+(L25-L26)^2)</f>
        <v/>
      </c>
      <c r="M28" s="20">
        <f>SQRT(M24^2+(M25+M26)^2)-SQRT(M24^2+(M25-M26)^2)</f>
        <v/>
      </c>
      <c r="N28" s="20">
        <f>SQRT(N24^2+(N25+N26)^2)-SQRT(N24^2+(N25-N26)^2)</f>
        <v/>
      </c>
      <c r="O28" s="20">
        <f>SQRT(O24^2+(O25+O26)^2)-SQRT(O24^2+(O25-O26)^2)</f>
        <v/>
      </c>
      <c r="P28" s="20">
        <f>SQRT(P24^2+(P25+P26)^2)-SQRT(P24^2+(P25-P26)^2)</f>
        <v/>
      </c>
      <c r="Q28" s="20">
        <f>SQRT(Q24^2+(Q25+Q26)^2)-SQRT(Q24^2+(Q25-Q26)^2)</f>
        <v/>
      </c>
      <c r="R28" s="20">
        <f>SQRT(R24^2+(R25+R26)^2)-SQRT(R24^2+(R25-R26)^2)</f>
        <v/>
      </c>
      <c r="S28" s="20">
        <f>SQRT(S24^2+(S25+S26)^2)-SQRT(S24^2+(S25-S26)^2)</f>
        <v/>
      </c>
    </row>
    <row r="29">
      <c r="A29" s="2" t="inlineStr">
        <is>
          <t>Ground-bounce phase</t>
        </is>
      </c>
      <c r="B29" s="2" t="inlineStr">
        <is>
          <t>x</t>
        </is>
      </c>
      <c r="C29" s="2" t="inlineStr">
        <is>
          <t>rad</t>
        </is>
      </c>
      <c r="D29" s="4" t="inlineStr">
        <is>
          <t>x = 2π·Δd/λ</t>
        </is>
      </c>
      <c r="E29" s="21">
        <f>2*PI()*E28/E13</f>
        <v/>
      </c>
      <c r="F29" s="21">
        <f>2*PI()*F28/F13</f>
        <v/>
      </c>
      <c r="G29" s="21">
        <f>2*PI()*G28/G13</f>
        <v/>
      </c>
      <c r="H29" s="21">
        <f>2*PI()*H28/H13</f>
        <v/>
      </c>
      <c r="I29" s="21">
        <f>2*PI()*I28/I13</f>
        <v/>
      </c>
      <c r="J29" s="21">
        <f>2*PI()*J28/J13</f>
        <v/>
      </c>
      <c r="K29" s="21">
        <f>2*PI()*K28/K13</f>
        <v/>
      </c>
      <c r="L29" s="21">
        <f>2*PI()*L28/L13</f>
        <v/>
      </c>
      <c r="M29" s="21">
        <f>2*PI()*M28/M13</f>
        <v/>
      </c>
      <c r="N29" s="21">
        <f>2*PI()*N28/N13</f>
        <v/>
      </c>
      <c r="O29" s="21">
        <f>2*PI()*O28/O13</f>
        <v/>
      </c>
      <c r="P29" s="21">
        <f>2*PI()*P28/P13</f>
        <v/>
      </c>
      <c r="Q29" s="21">
        <f>2*PI()*Q28/Q13</f>
        <v/>
      </c>
      <c r="R29" s="21">
        <f>2*PI()*R28/R13</f>
        <v/>
      </c>
      <c r="S29" s="21">
        <f>2*PI()*S28/S13</f>
        <v/>
      </c>
    </row>
    <row r="30">
      <c r="A30" s="2" t="inlineStr">
        <is>
          <t>Propagation regime</t>
        </is>
      </c>
      <c r="B30" s="2" t="inlineStr"/>
      <c r="C30" s="2" t="inlineStr"/>
      <c r="D30" s="4" t="inlineStr">
        <is>
          <t>x &lt; π/2: smooth d^-4 region; else interference zone (|cos| creates artificial nulls)</t>
        </is>
      </c>
      <c r="E30" s="17">
        <f>IF(E29&lt;PI()/2,"beyond breakpoint","interference zone")</f>
        <v/>
      </c>
      <c r="F30" s="17">
        <f>IF(F29&lt;PI()/2,"beyond breakpoint","interference zone")</f>
        <v/>
      </c>
      <c r="G30" s="17">
        <f>IF(G29&lt;PI()/2,"beyond breakpoint","interference zone")</f>
        <v/>
      </c>
      <c r="H30" s="17">
        <f>IF(H29&lt;PI()/2,"beyond breakpoint","interference zone")</f>
        <v/>
      </c>
      <c r="I30" s="17">
        <f>IF(I29&lt;PI()/2,"beyond breakpoint","interference zone")</f>
        <v/>
      </c>
      <c r="J30" s="17">
        <f>IF(J29&lt;PI()/2,"beyond breakpoint","interference zone")</f>
        <v/>
      </c>
      <c r="K30" s="17">
        <f>IF(K29&lt;PI()/2,"beyond breakpoint","interference zone")</f>
        <v/>
      </c>
      <c r="L30" s="17">
        <f>IF(L29&lt;PI()/2,"beyond breakpoint","interference zone")</f>
        <v/>
      </c>
      <c r="M30" s="17">
        <f>IF(M29&lt;PI()/2,"beyond breakpoint","interference zone")</f>
        <v/>
      </c>
      <c r="N30" s="17">
        <f>IF(N29&lt;PI()/2,"beyond breakpoint","interference zone")</f>
        <v/>
      </c>
      <c r="O30" s="17">
        <f>IF(O29&lt;PI()/2,"beyond breakpoint","interference zone")</f>
        <v/>
      </c>
      <c r="P30" s="17">
        <f>IF(P29&lt;PI()/2,"beyond breakpoint","interference zone")</f>
        <v/>
      </c>
      <c r="Q30" s="17">
        <f>IF(Q29&lt;PI()/2,"beyond breakpoint","interference zone")</f>
        <v/>
      </c>
      <c r="R30" s="17">
        <f>IF(R29&lt;PI()/2,"beyond breakpoint","interference zone")</f>
        <v/>
      </c>
      <c r="S30" s="17">
        <f>IF(S29&lt;PI()/2,"beyond breakpoint","interference zone")</f>
        <v/>
      </c>
    </row>
    <row r="31">
      <c r="A31" s="2" t="inlineStr">
        <is>
          <t>Free space loss</t>
        </is>
      </c>
      <c r="B31" s="2" t="inlineStr">
        <is>
          <t>LFS</t>
        </is>
      </c>
      <c r="C31" s="2" t="inlineStr">
        <is>
          <t>dB</t>
        </is>
      </c>
      <c r="D31" s="4" t="inlineStr">
        <is>
          <t>LFS = 20·log10(λ / 4πd)</t>
        </is>
      </c>
      <c r="E31" s="15">
        <f>20*LOG10(E13/(4*PI()*E24))</f>
        <v/>
      </c>
      <c r="F31" s="15">
        <f>20*LOG10(F13/(4*PI()*F24))</f>
        <v/>
      </c>
      <c r="G31" s="15">
        <f>20*LOG10(G13/(4*PI()*G24))</f>
        <v/>
      </c>
      <c r="H31" s="15">
        <f>20*LOG10(H13/(4*PI()*H24))</f>
        <v/>
      </c>
      <c r="I31" s="15">
        <f>20*LOG10(I13/(4*PI()*I24))</f>
        <v/>
      </c>
      <c r="J31" s="15">
        <f>20*LOG10(J13/(4*PI()*J24))</f>
        <v/>
      </c>
      <c r="K31" s="15">
        <f>20*LOG10(K13/(4*PI()*K24))</f>
        <v/>
      </c>
      <c r="L31" s="15">
        <f>20*LOG10(L13/(4*PI()*L24))</f>
        <v/>
      </c>
      <c r="M31" s="15">
        <f>20*LOG10(M13/(4*PI()*M24))</f>
        <v/>
      </c>
      <c r="N31" s="15">
        <f>20*LOG10(N13/(4*PI()*N24))</f>
        <v/>
      </c>
      <c r="O31" s="15">
        <f>20*LOG10(O13/(4*PI()*O24))</f>
        <v/>
      </c>
      <c r="P31" s="15">
        <f>20*LOG10(P13/(4*PI()*P24))</f>
        <v/>
      </c>
      <c r="Q31" s="15">
        <f>20*LOG10(Q13/(4*PI()*Q24))</f>
        <v/>
      </c>
      <c r="R31" s="15">
        <f>20*LOG10(R13/(4*PI()*R24))</f>
        <v/>
      </c>
      <c r="S31" s="15">
        <f>20*LOG10(S13/(4*PI()*S24))</f>
        <v/>
      </c>
    </row>
    <row r="32">
      <c r="A32" s="2" t="inlineStr">
        <is>
          <t>Ground bounce loss</t>
        </is>
      </c>
      <c r="B32" s="2" t="inlineStr">
        <is>
          <t>LGB</t>
        </is>
      </c>
      <c r="C32" s="2" t="inlineStr">
        <is>
          <t>dB</t>
        </is>
      </c>
      <c r="D32" s="4" t="inlineStr">
        <is>
          <t>LGB = 10·log10(1 + a² - 2a·|cos x|)  [course-corrected, no 1/2]</t>
        </is>
      </c>
      <c r="E32" s="15">
        <f>10*LOG10(1+E27^2-2*E27*ABS(COS(E29)))</f>
        <v/>
      </c>
      <c r="F32" s="15">
        <f>10*LOG10(1+F27^2-2*F27*ABS(COS(F29)))</f>
        <v/>
      </c>
      <c r="G32" s="15">
        <f>10*LOG10(1+G27^2-2*G27*ABS(COS(G29)))</f>
        <v/>
      </c>
      <c r="H32" s="15">
        <f>10*LOG10(1+H27^2-2*H27*ABS(COS(H29)))</f>
        <v/>
      </c>
      <c r="I32" s="15">
        <f>10*LOG10(1+I27^2-2*I27*ABS(COS(I29)))</f>
        <v/>
      </c>
      <c r="J32" s="15">
        <f>10*LOG10(1+J27^2-2*J27*ABS(COS(J29)))</f>
        <v/>
      </c>
      <c r="K32" s="15">
        <f>10*LOG10(1+K27^2-2*K27*ABS(COS(K29)))</f>
        <v/>
      </c>
      <c r="L32" s="15">
        <f>10*LOG10(1+L27^2-2*L27*ABS(COS(L29)))</f>
        <v/>
      </c>
      <c r="M32" s="15">
        <f>10*LOG10(1+M27^2-2*M27*ABS(COS(M29)))</f>
        <v/>
      </c>
      <c r="N32" s="15">
        <f>10*LOG10(1+N27^2-2*N27*ABS(COS(N29)))</f>
        <v/>
      </c>
      <c r="O32" s="15">
        <f>10*LOG10(1+O27^2-2*O27*ABS(COS(O29)))</f>
        <v/>
      </c>
      <c r="P32" s="15">
        <f>10*LOG10(1+P27^2-2*P27*ABS(COS(P29)))</f>
        <v/>
      </c>
      <c r="Q32" s="15">
        <f>10*LOG10(1+Q27^2-2*Q27*ABS(COS(Q29)))</f>
        <v/>
      </c>
      <c r="R32" s="15">
        <f>10*LOG10(1+R27^2-2*R27*ABS(COS(R29)))</f>
        <v/>
      </c>
      <c r="S32" s="15">
        <f>10*LOG10(1+S27^2-2*S27*ABS(COS(S29)))</f>
        <v/>
      </c>
    </row>
    <row r="33">
      <c r="A33" s="2" t="inlineStr">
        <is>
          <t>Flat earth loss</t>
        </is>
      </c>
      <c r="B33" s="2" t="inlineStr">
        <is>
          <t>LFE</t>
        </is>
      </c>
      <c r="C33" s="2" t="inlineStr">
        <is>
          <t>dB</t>
        </is>
      </c>
      <c r="D33" s="4" t="inlineStr">
        <is>
          <t>LFE = LFS + LGB</t>
        </is>
      </c>
      <c r="E33" s="15">
        <f>E31+E32</f>
        <v/>
      </c>
      <c r="F33" s="15">
        <f>F31+F32</f>
        <v/>
      </c>
      <c r="G33" s="15">
        <f>G31+G32</f>
        <v/>
      </c>
      <c r="H33" s="15">
        <f>H31+H32</f>
        <v/>
      </c>
      <c r="I33" s="15">
        <f>I31+I32</f>
        <v/>
      </c>
      <c r="J33" s="15">
        <f>J31+J32</f>
        <v/>
      </c>
      <c r="K33" s="15">
        <f>K31+K32</f>
        <v/>
      </c>
      <c r="L33" s="15">
        <f>L31+L32</f>
        <v/>
      </c>
      <c r="M33" s="15">
        <f>M31+M32</f>
        <v/>
      </c>
      <c r="N33" s="15">
        <f>N31+N32</f>
        <v/>
      </c>
      <c r="O33" s="15">
        <f>O31+O32</f>
        <v/>
      </c>
      <c r="P33" s="15">
        <f>P31+P32</f>
        <v/>
      </c>
      <c r="Q33" s="15">
        <f>Q31+Q32</f>
        <v/>
      </c>
      <c r="R33" s="15">
        <f>R31+R32</f>
        <v/>
      </c>
      <c r="S33" s="15">
        <f>S31+S32</f>
        <v/>
      </c>
    </row>
    <row r="34">
      <c r="A34" s="2" t="inlineStr">
        <is>
          <t>Medium / container loss</t>
        </is>
      </c>
      <c r="B34" s="2" t="inlineStr">
        <is>
          <t>L0</t>
        </is>
      </c>
      <c r="C34" s="2" t="inlineStr">
        <is>
          <t>dB</t>
        </is>
      </c>
      <c r="D34" s="4" t="inlineStr">
        <is>
          <t>ASSUMPTION: IKEA 365+ PP lid/walls; measure open vs closed (T5)</t>
        </is>
      </c>
      <c r="E34" s="16" t="n">
        <v>-1</v>
      </c>
      <c r="F34" s="16" t="n">
        <v>-1</v>
      </c>
      <c r="G34" s="16" t="n">
        <v>-1</v>
      </c>
      <c r="H34" s="16" t="n">
        <v>-1</v>
      </c>
      <c r="I34" s="16" t="n">
        <v>-1</v>
      </c>
      <c r="J34" s="16" t="n">
        <v>-1</v>
      </c>
      <c r="K34" s="16" t="n">
        <v>-1</v>
      </c>
      <c r="L34" s="16" t="n">
        <v>-1</v>
      </c>
      <c r="M34" s="16" t="n">
        <v>-1</v>
      </c>
      <c r="N34" s="16" t="n">
        <v>-1</v>
      </c>
      <c r="O34" s="16" t="n">
        <v>-1</v>
      </c>
      <c r="P34" s="16" t="n">
        <v>-1</v>
      </c>
      <c r="Q34" s="16" t="n">
        <v>-1</v>
      </c>
      <c r="R34" s="16" t="n">
        <v>-1</v>
      </c>
      <c r="S34" s="16" t="n">
        <v>-1</v>
      </c>
    </row>
    <row r="35">
      <c r="A35" s="2" t="inlineStr">
        <is>
          <t>Multipath loss</t>
        </is>
      </c>
      <c r="B35" s="2" t="inlineStr">
        <is>
          <t>LMP</t>
        </is>
      </c>
      <c r="C35" s="2" t="inlineStr">
        <is>
          <t>dB</t>
        </is>
      </c>
      <c r="D35" s="4" t="inlineStr">
        <is>
          <t>ASSUMPTION: 0 on open campus paths; AN5142 suggests ≥20 dB in cluttered areas</t>
        </is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</row>
    <row r="36">
      <c r="A36" s="2" t="inlineStr">
        <is>
          <t>Obstruction loss</t>
        </is>
      </c>
      <c r="B36" s="2" t="inlineStr">
        <is>
          <t>LObs</t>
        </is>
      </c>
      <c r="C36" s="2" t="inlineStr">
        <is>
          <t>dB</t>
        </is>
      </c>
      <c r="D36" s="4" t="inlineStr">
        <is>
          <t>NM: building corner ASSUMED -10 dB</t>
        </is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-10</v>
      </c>
      <c r="P36" s="16" t="n">
        <v>-10</v>
      </c>
      <c r="Q36" s="16" t="n">
        <v>0</v>
      </c>
      <c r="R36" s="16" t="n">
        <v>-10</v>
      </c>
      <c r="S36" s="16" t="n">
        <v>0</v>
      </c>
    </row>
    <row r="37">
      <c r="A37" s="2" t="inlineStr">
        <is>
          <t>Power at RX antenna, free space</t>
        </is>
      </c>
      <c r="B37" s="2" t="inlineStr">
        <is>
          <t>PChanFS</t>
        </is>
      </c>
      <c r="C37" s="2" t="inlineStr">
        <is>
          <t>dBm</t>
        </is>
      </c>
      <c r="D37" s="4" t="inlineStr">
        <is>
          <t>PChanFS = EIRP + LFS + L0</t>
        </is>
      </c>
      <c r="E37" s="15">
        <f>E20+E31+E34</f>
        <v/>
      </c>
      <c r="F37" s="15">
        <f>F20+F31+F34</f>
        <v/>
      </c>
      <c r="G37" s="15">
        <f>G20+G31+G34</f>
        <v/>
      </c>
      <c r="H37" s="15">
        <f>H20+H31+H34</f>
        <v/>
      </c>
      <c r="I37" s="15">
        <f>I20+I31+I34</f>
        <v/>
      </c>
      <c r="J37" s="15">
        <f>J20+J31+J34</f>
        <v/>
      </c>
      <c r="K37" s="15">
        <f>K20+K31+K34</f>
        <v/>
      </c>
      <c r="L37" s="15">
        <f>L20+L31+L34</f>
        <v/>
      </c>
      <c r="M37" s="15">
        <f>M20+M31+M34</f>
        <v/>
      </c>
      <c r="N37" s="15">
        <f>N20+N31+N34</f>
        <v/>
      </c>
      <c r="O37" s="15">
        <f>O20+O31+O34</f>
        <v/>
      </c>
      <c r="P37" s="15">
        <f>P20+P31+P34</f>
        <v/>
      </c>
      <c r="Q37" s="15">
        <f>Q20+Q31+Q34</f>
        <v/>
      </c>
      <c r="R37" s="15">
        <f>R20+R31+R34</f>
        <v/>
      </c>
      <c r="S37" s="15">
        <f>S20+S31+S34</f>
        <v/>
      </c>
    </row>
    <row r="38">
      <c r="A38" s="2" t="inlineStr">
        <is>
          <t>Power at RX antenna, flat earth</t>
        </is>
      </c>
      <c r="B38" s="2" t="inlineStr">
        <is>
          <t>PChanFE</t>
        </is>
      </c>
      <c r="C38" s="2" t="inlineStr">
        <is>
          <t>dBm</t>
        </is>
      </c>
      <c r="D38" s="4" t="inlineStr">
        <is>
          <t>PChanFE = EIRP + LFE + L0 + LMP + LObs</t>
        </is>
      </c>
      <c r="E38" s="15">
        <f>E20+E33+E34+E35+E36</f>
        <v/>
      </c>
      <c r="F38" s="15">
        <f>F20+F33+F34+F35+F36</f>
        <v/>
      </c>
      <c r="G38" s="15">
        <f>G20+G33+G34+G35+G36</f>
        <v/>
      </c>
      <c r="H38" s="15">
        <f>H20+H33+H34+H35+H36</f>
        <v/>
      </c>
      <c r="I38" s="15">
        <f>I20+I33+I34+I35+I36</f>
        <v/>
      </c>
      <c r="J38" s="15">
        <f>J20+J33+J34+J35+J36</f>
        <v/>
      </c>
      <c r="K38" s="15">
        <f>K20+K33+K34+K35+K36</f>
        <v/>
      </c>
      <c r="L38" s="15">
        <f>L20+L33+L34+L35+L36</f>
        <v/>
      </c>
      <c r="M38" s="15">
        <f>M20+M33+M34+M35+M36</f>
        <v/>
      </c>
      <c r="N38" s="15">
        <f>N20+N33+N34+N35+N36</f>
        <v/>
      </c>
      <c r="O38" s="15">
        <f>O20+O33+O34+O35+O36</f>
        <v/>
      </c>
      <c r="P38" s="15">
        <f>P20+P33+P34+P35+P36</f>
        <v/>
      </c>
      <c r="Q38" s="15">
        <f>Q20+Q33+Q34+Q35+Q36</f>
        <v/>
      </c>
      <c r="R38" s="15">
        <f>R20+R33+R34+R35+R36</f>
        <v/>
      </c>
      <c r="S38" s="15">
        <f>S20+S33+S34+S35+S36</f>
        <v/>
      </c>
    </row>
    <row r="39">
      <c r="A39" s="6" t="inlineStr">
        <is>
          <t>Receiver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>
      <c r="A40" s="2" t="inlineStr">
        <is>
          <t>RX antenna gain (in box)</t>
        </is>
      </c>
      <c r="B40" s="2" t="inlineStr">
        <is>
          <t>GR</t>
        </is>
      </c>
      <c r="C40" s="2" t="inlineStr">
        <is>
          <t>dBi</t>
        </is>
      </c>
      <c r="D40" s="4" t="inlineStr">
        <is>
          <t>ASSUMPTION</t>
        </is>
      </c>
      <c r="E40" s="16" t="n">
        <v>0</v>
      </c>
      <c r="F40" s="16" t="n">
        <v>0</v>
      </c>
      <c r="G40" s="16" t="n">
        <v>0</v>
      </c>
      <c r="H40" s="16" t="n">
        <v>0</v>
      </c>
      <c r="I40" s="16" t="n">
        <v>2</v>
      </c>
      <c r="J40" s="16" t="n">
        <v>2</v>
      </c>
      <c r="K40" s="16" t="n">
        <v>0</v>
      </c>
      <c r="L40" s="16" t="n">
        <v>0</v>
      </c>
      <c r="M40" s="16" t="n">
        <v>2</v>
      </c>
      <c r="N40" s="16" t="n">
        <v>8</v>
      </c>
      <c r="O40" s="16" t="n">
        <v>0</v>
      </c>
      <c r="P40" s="16" t="n">
        <v>2</v>
      </c>
      <c r="Q40" s="16" t="n">
        <v>0</v>
      </c>
      <c r="R40" s="16" t="n">
        <v>0</v>
      </c>
      <c r="S40" s="16" t="n">
        <v>0</v>
      </c>
    </row>
    <row r="41">
      <c r="A41" s="2" t="inlineStr">
        <is>
          <t>RX connector/cable loss</t>
        </is>
      </c>
      <c r="B41" s="2" t="inlineStr">
        <is>
          <t>LConR</t>
        </is>
      </c>
      <c r="C41" s="2" t="inlineStr">
        <is>
          <t>dB</t>
        </is>
      </c>
      <c r="D41" s="4" t="inlineStr"/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</row>
    <row r="42">
      <c r="A42" s="2" t="inlineStr">
        <is>
          <t>RX power, free space</t>
        </is>
      </c>
      <c r="B42" s="2" t="inlineStr">
        <is>
          <t>PRFS</t>
        </is>
      </c>
      <c r="C42" s="2" t="inlineStr">
        <is>
          <t>dBm</t>
        </is>
      </c>
      <c r="D42" s="4" t="inlineStr">
        <is>
          <t>PRFS = PChanFS + GR + LConR</t>
        </is>
      </c>
      <c r="E42" s="15">
        <f>E37+E40+E41</f>
        <v/>
      </c>
      <c r="F42" s="15">
        <f>F37+F40+F41</f>
        <v/>
      </c>
      <c r="G42" s="15">
        <f>G37+G40+G41</f>
        <v/>
      </c>
      <c r="H42" s="15">
        <f>H37+H40+H41</f>
        <v/>
      </c>
      <c r="I42" s="15">
        <f>I37+I40+I41</f>
        <v/>
      </c>
      <c r="J42" s="15">
        <f>J37+J40+J41</f>
        <v/>
      </c>
      <c r="K42" s="15">
        <f>K37+K40+K41</f>
        <v/>
      </c>
      <c r="L42" s="15">
        <f>L37+L40+L41</f>
        <v/>
      </c>
      <c r="M42" s="15">
        <f>M37+M40+M41</f>
        <v/>
      </c>
      <c r="N42" s="15">
        <f>N37+N40+N41</f>
        <v/>
      </c>
      <c r="O42" s="15">
        <f>O37+O40+O41</f>
        <v/>
      </c>
      <c r="P42" s="15">
        <f>P37+P40+P41</f>
        <v/>
      </c>
      <c r="Q42" s="15">
        <f>Q37+Q40+Q41</f>
        <v/>
      </c>
      <c r="R42" s="15">
        <f>R37+R40+R41</f>
        <v/>
      </c>
      <c r="S42" s="15">
        <f>S37+S40+S41</f>
        <v/>
      </c>
    </row>
    <row r="43">
      <c r="A43" s="2" t="inlineStr">
        <is>
          <t>RX power, flat earth</t>
        </is>
      </c>
      <c r="B43" s="2" t="inlineStr">
        <is>
          <t>PRFE</t>
        </is>
      </c>
      <c r="C43" s="2" t="inlineStr">
        <is>
          <t>dBm</t>
        </is>
      </c>
      <c r="D43" s="4" t="inlineStr">
        <is>
          <t>PRFE = PChanFE + GR + LConR</t>
        </is>
      </c>
      <c r="E43" s="15">
        <f>E38+E40+E41</f>
        <v/>
      </c>
      <c r="F43" s="15">
        <f>F38+F40+F41</f>
        <v/>
      </c>
      <c r="G43" s="15">
        <f>G38+G40+G41</f>
        <v/>
      </c>
      <c r="H43" s="15">
        <f>H38+H40+H41</f>
        <v/>
      </c>
      <c r="I43" s="15">
        <f>I38+I40+I41</f>
        <v/>
      </c>
      <c r="J43" s="15">
        <f>J38+J40+J41</f>
        <v/>
      </c>
      <c r="K43" s="15">
        <f>K38+K40+K41</f>
        <v/>
      </c>
      <c r="L43" s="15">
        <f>L38+L40+L41</f>
        <v/>
      </c>
      <c r="M43" s="15">
        <f>M38+M40+M41</f>
        <v/>
      </c>
      <c r="N43" s="15">
        <f>N38+N40+N41</f>
        <v/>
      </c>
      <c r="O43" s="15">
        <f>O38+O40+O41</f>
        <v/>
      </c>
      <c r="P43" s="15">
        <f>P38+P40+P41</f>
        <v/>
      </c>
      <c r="Q43" s="15">
        <f>Q38+Q40+Q41</f>
        <v/>
      </c>
      <c r="R43" s="15">
        <f>R38+R40+R41</f>
        <v/>
      </c>
      <c r="S43" s="15">
        <f>S38+S40+S41</f>
        <v/>
      </c>
    </row>
    <row r="44">
      <c r="A44" s="2" t="inlineStr">
        <is>
          <t>RX sensitivity</t>
        </is>
      </c>
      <c r="B44" s="2" t="inlineStr">
        <is>
          <t>Sens</t>
        </is>
      </c>
      <c r="C44" s="2" t="inlineStr">
        <is>
          <t>dBm</t>
        </is>
      </c>
      <c r="D44" s="4" t="inlineStr">
        <is>
          <t>Datasheet (see source row)</t>
        </is>
      </c>
      <c r="E44" s="9" t="n">
        <v>-105</v>
      </c>
      <c r="F44" s="9" t="n">
        <v>-100</v>
      </c>
      <c r="G44" s="9" t="n">
        <v>-104</v>
      </c>
      <c r="H44" s="9" t="n">
        <v>-104</v>
      </c>
      <c r="I44" s="9" t="n">
        <v>-85</v>
      </c>
      <c r="J44" s="9" t="n">
        <v>-82</v>
      </c>
      <c r="K44" s="9" t="n">
        <v>-105</v>
      </c>
      <c r="L44" s="9" t="n">
        <v>-104</v>
      </c>
      <c r="M44" s="9" t="n">
        <v>-94</v>
      </c>
      <c r="N44" s="9" t="n">
        <v>-94</v>
      </c>
      <c r="O44" s="9" t="n">
        <v>-105</v>
      </c>
      <c r="P44" s="9" t="n">
        <v>-94</v>
      </c>
      <c r="Q44" s="9" t="n">
        <v>-100</v>
      </c>
      <c r="R44" s="9" t="n">
        <v>-100</v>
      </c>
      <c r="S44" s="9" t="n">
        <v>-100</v>
      </c>
    </row>
    <row r="45" ht="60" customHeight="1">
      <c r="A45" s="2" t="inlineStr">
        <is>
          <t>Sensitivity source</t>
        </is>
      </c>
      <c r="B45" s="2" t="inlineStr"/>
      <c r="C45" s="2" t="inlineStr"/>
      <c r="D45" s="4" t="inlineStr"/>
      <c r="E45" s="8" t="inlineStr">
        <is>
          <t>RFM69HCW datasheet: -105 dBm @38.4 kbps, FDA 40 kHz</t>
        </is>
      </c>
      <c r="F45" s="8" t="inlineStr">
        <is>
          <t>ESTIMATE: datasheet stops at 38.4 kbps (-105 dBm); ~-5 dB for 2x bandwidth. Measure on the bench.</t>
        </is>
      </c>
      <c r="G45" s="8" t="inlineStr">
        <is>
          <t>Si4463 datasheet: -104 dBm typ @100 kbps GFSK (BER 0.1 %)</t>
        </is>
      </c>
      <c r="H45" s="8" t="inlineStr">
        <is>
          <t>CC1101 datasheet: -104 dBm @38.4 kBaud GFSK, 100 kHz filter (PER 1 %)</t>
        </is>
      </c>
      <c r="I45" s="8" t="inlineStr">
        <is>
          <t>nRF24L01+ datasheet: -85 dBm @1000 kbps (BER 0.1 %)</t>
        </is>
      </c>
      <c r="J45" s="8" t="inlineStr">
        <is>
          <t>nRF24L01+ datasheet: -82 dBm @2000 kbps (BER 0.1 %)</t>
        </is>
      </c>
      <c r="K45" s="8" t="inlineStr">
        <is>
          <t>RFM69HCW datasheet: -105 dBm @38.4 kbps, FDA 40 kHz</t>
        </is>
      </c>
      <c r="L45" s="8" t="inlineStr">
        <is>
          <t>Si4463 datasheet: -104 dBm typ @100 kbps GFSK (BER 0.1 %)</t>
        </is>
      </c>
      <c r="M45" s="8" t="inlineStr">
        <is>
          <t>nRF24L01+ datasheet: -94 dBm @250 kbps (BER 0.1 %)</t>
        </is>
      </c>
      <c r="N45" s="8" t="inlineStr">
        <is>
          <t>nRF24L01+ datasheet: -94 dBm @250 kbps (BER 0.1 %)</t>
        </is>
      </c>
      <c r="O45" s="8" t="inlineStr">
        <is>
          <t>RFM69HCW datasheet: -105 dBm @38.4 kbps, FDA 40 kHz</t>
        </is>
      </c>
      <c r="P45" s="8" t="inlineStr">
        <is>
          <t>nRF24L01+ datasheet: -94 dBm @250 kbps (BER 0.1 %)</t>
        </is>
      </c>
      <c r="Q45" s="8" t="inlineStr">
        <is>
          <t>ESTIMATE: datasheet stops at 38.4 kbps (-105 dBm); ~-5 dB for 2x bandwidth. Measure on the bench.</t>
        </is>
      </c>
      <c r="R45" s="8" t="inlineStr">
        <is>
          <t>ESTIMATE: datasheet stops at 38.4 kbps (-105 dBm); ~-5 dB for 2x bandwidth. Measure on the bench.</t>
        </is>
      </c>
      <c r="S45" s="8" t="inlineStr">
        <is>
          <t>ESTIMATE: datasheet stops at 38.4 kbps (-105 dBm); ~-5 dB for 2x bandwidth. Measure on the bench.</t>
        </is>
      </c>
    </row>
    <row r="46">
      <c r="A46" s="6" t="inlineStr">
        <is>
          <t>Results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</row>
    <row r="47">
      <c r="A47" s="2" t="inlineStr">
        <is>
          <t>Link margin, free space</t>
        </is>
      </c>
      <c r="B47" s="2" t="inlineStr">
        <is>
          <t>MFS</t>
        </is>
      </c>
      <c r="C47" s="2" t="inlineStr">
        <is>
          <t>dB</t>
        </is>
      </c>
      <c r="D47" s="4" t="inlineStr">
        <is>
          <t>MFS = PRFS - Sens</t>
        </is>
      </c>
      <c r="E47" s="22">
        <f>E42-E44</f>
        <v/>
      </c>
      <c r="F47" s="22">
        <f>F42-F44</f>
        <v/>
      </c>
      <c r="G47" s="22">
        <f>G42-G44</f>
        <v/>
      </c>
      <c r="H47" s="22">
        <f>H42-H44</f>
        <v/>
      </c>
      <c r="I47" s="22">
        <f>I42-I44</f>
        <v/>
      </c>
      <c r="J47" s="22">
        <f>J42-J44</f>
        <v/>
      </c>
      <c r="K47" s="22">
        <f>K42-K44</f>
        <v/>
      </c>
      <c r="L47" s="22">
        <f>L42-L44</f>
        <v/>
      </c>
      <c r="M47" s="22">
        <f>M42-M44</f>
        <v/>
      </c>
      <c r="N47" s="22">
        <f>N42-N44</f>
        <v/>
      </c>
      <c r="O47" s="22">
        <f>O42-O44</f>
        <v/>
      </c>
      <c r="P47" s="22">
        <f>P42-P44</f>
        <v/>
      </c>
      <c r="Q47" s="22">
        <f>Q42-Q44</f>
        <v/>
      </c>
      <c r="R47" s="22">
        <f>R42-R44</f>
        <v/>
      </c>
      <c r="S47" s="22">
        <f>S42-S44</f>
        <v/>
      </c>
    </row>
    <row r="48">
      <c r="A48" s="3" t="inlineStr">
        <is>
          <t>LINK MARGIN, FLAT EARTH</t>
        </is>
      </c>
      <c r="B48" s="2" t="inlineStr">
        <is>
          <t>MFE</t>
        </is>
      </c>
      <c r="C48" s="2" t="inlineStr">
        <is>
          <t>dB</t>
        </is>
      </c>
      <c r="D48" s="4" t="inlineStr">
        <is>
          <t>MFE = PRFE - Sens  (design value)</t>
        </is>
      </c>
      <c r="E48" s="23">
        <f>E43-E44</f>
        <v/>
      </c>
      <c r="F48" s="23">
        <f>F43-F44</f>
        <v/>
      </c>
      <c r="G48" s="23">
        <f>G43-G44</f>
        <v/>
      </c>
      <c r="H48" s="23">
        <f>H43-H44</f>
        <v/>
      </c>
      <c r="I48" s="23">
        <f>I43-I44</f>
        <v/>
      </c>
      <c r="J48" s="23">
        <f>J43-J44</f>
        <v/>
      </c>
      <c r="K48" s="23">
        <f>K43-K44</f>
        <v/>
      </c>
      <c r="L48" s="23">
        <f>L43-L44</f>
        <v/>
      </c>
      <c r="M48" s="23">
        <f>M43-M44</f>
        <v/>
      </c>
      <c r="N48" s="23">
        <f>N43-N44</f>
        <v/>
      </c>
      <c r="O48" s="23">
        <f>O43-O44</f>
        <v/>
      </c>
      <c r="P48" s="23">
        <f>P43-P44</f>
        <v/>
      </c>
      <c r="Q48" s="23">
        <f>Q43-Q44</f>
        <v/>
      </c>
      <c r="R48" s="23">
        <f>R43-R44</f>
        <v/>
      </c>
      <c r="S48" s="23">
        <f>S43-S44</f>
        <v/>
      </c>
    </row>
    <row r="49">
      <c r="A49" s="2" t="inlineStr">
        <is>
          <t>Margin with what-if multipath</t>
        </is>
      </c>
      <c r="B49" s="2" t="inlineStr"/>
      <c r="C49" s="2" t="inlineStr">
        <is>
          <t>dB</t>
        </is>
      </c>
      <c r="D49" s="24" t="n">
        <v>-20</v>
      </c>
      <c r="E49" s="22">
        <f>E43-E35+$D$49-E44</f>
        <v/>
      </c>
      <c r="F49" s="22">
        <f>F43-F35+$D$49-F44</f>
        <v/>
      </c>
      <c r="G49" s="22">
        <f>G43-G35+$D$49-G44</f>
        <v/>
      </c>
      <c r="H49" s="22">
        <f>H43-H35+$D$49-H44</f>
        <v/>
      </c>
      <c r="I49" s="22">
        <f>I43-I35+$D$49-I44</f>
        <v/>
      </c>
      <c r="J49" s="22">
        <f>J43-J35+$D$49-J44</f>
        <v/>
      </c>
      <c r="K49" s="22">
        <f>K43-K35+$D$49-K44</f>
        <v/>
      </c>
      <c r="L49" s="22">
        <f>L43-L35+$D$49-L44</f>
        <v/>
      </c>
      <c r="M49" s="22">
        <f>M43-M35+$D$49-M44</f>
        <v/>
      </c>
      <c r="N49" s="22">
        <f>N43-N35+$D$49-N44</f>
        <v/>
      </c>
      <c r="O49" s="22">
        <f>O43-O35+$D$49-O44</f>
        <v/>
      </c>
      <c r="P49" s="22">
        <f>P43-P35+$D$49-P44</f>
        <v/>
      </c>
      <c r="Q49" s="22">
        <f>Q43-Q35+$D$49-Q44</f>
        <v/>
      </c>
      <c r="R49" s="22">
        <f>R43-R35+$D$49-R44</f>
        <v/>
      </c>
      <c r="S49" s="22">
        <f>S43-S35+$D$49-S44</f>
        <v/>
      </c>
    </row>
    <row r="50">
      <c r="A50" s="6" t="inlineStr">
        <is>
          <t>Receiver noise sanity check (AN5142 sensitivity block)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</row>
    <row r="51">
      <c r="A51" s="2" t="inlineStr">
        <is>
          <t>RX noise figure</t>
        </is>
      </c>
      <c r="B51" s="2" t="inlineStr">
        <is>
          <t>NF</t>
        </is>
      </c>
      <c r="C51" s="2" t="inlineStr">
        <is>
          <t>dB</t>
        </is>
      </c>
      <c r="D51" s="4" t="inlineStr">
        <is>
          <t>ASSUMPTION</t>
        </is>
      </c>
      <c r="E51" s="11" t="n">
        <v>7</v>
      </c>
      <c r="F51" s="11" t="n">
        <v>7</v>
      </c>
      <c r="G51" s="11" t="n">
        <v>7</v>
      </c>
      <c r="H51" s="11" t="n">
        <v>7</v>
      </c>
      <c r="I51" s="11" t="n">
        <v>10</v>
      </c>
      <c r="J51" s="11" t="n">
        <v>10</v>
      </c>
      <c r="K51" s="11" t="n">
        <v>7</v>
      </c>
      <c r="L51" s="11" t="n">
        <v>7</v>
      </c>
      <c r="M51" s="11" t="n">
        <v>10</v>
      </c>
      <c r="N51" s="11" t="n">
        <v>10</v>
      </c>
      <c r="O51" s="11" t="n">
        <v>7</v>
      </c>
      <c r="P51" s="11" t="n">
        <v>10</v>
      </c>
      <c r="Q51" s="11" t="n">
        <v>7</v>
      </c>
      <c r="R51" s="11" t="n">
        <v>7</v>
      </c>
      <c r="S51" s="11" t="n">
        <v>7</v>
      </c>
    </row>
    <row r="52">
      <c r="A52" s="2" t="inlineStr">
        <is>
          <t>Operating temperature</t>
        </is>
      </c>
      <c r="B52" s="2" t="inlineStr">
        <is>
          <t>T0</t>
        </is>
      </c>
      <c r="C52" s="2" t="inlineStr">
        <is>
          <t>K</t>
        </is>
      </c>
      <c r="D52" s="4" t="inlineStr"/>
      <c r="E52" s="13" t="n">
        <v>290</v>
      </c>
      <c r="F52" s="13" t="n">
        <v>290</v>
      </c>
      <c r="G52" s="13" t="n">
        <v>290</v>
      </c>
      <c r="H52" s="13" t="n">
        <v>290</v>
      </c>
      <c r="I52" s="13" t="n">
        <v>290</v>
      </c>
      <c r="J52" s="13" t="n">
        <v>290</v>
      </c>
      <c r="K52" s="13" t="n">
        <v>290</v>
      </c>
      <c r="L52" s="13" t="n">
        <v>290</v>
      </c>
      <c r="M52" s="13" t="n">
        <v>290</v>
      </c>
      <c r="N52" s="13" t="n">
        <v>290</v>
      </c>
      <c r="O52" s="13" t="n">
        <v>290</v>
      </c>
      <c r="P52" s="13" t="n">
        <v>290</v>
      </c>
      <c r="Q52" s="13" t="n">
        <v>290</v>
      </c>
      <c r="R52" s="13" t="n">
        <v>290</v>
      </c>
      <c r="S52" s="13" t="n">
        <v>290</v>
      </c>
    </row>
    <row r="53">
      <c r="A53" s="2" t="inlineStr">
        <is>
          <t>Effective noise temperature</t>
        </is>
      </c>
      <c r="B53" s="2" t="inlineStr">
        <is>
          <t>Te</t>
        </is>
      </c>
      <c r="C53" s="2" t="inlineStr">
        <is>
          <t>K</t>
        </is>
      </c>
      <c r="D53" s="4" t="inlineStr">
        <is>
          <t>Te = T0·(10^(NF/10) - 1)</t>
        </is>
      </c>
      <c r="E53" s="25">
        <f>E52*(10^(E51/10)-1)</f>
        <v/>
      </c>
      <c r="F53" s="25">
        <f>F52*(10^(F51/10)-1)</f>
        <v/>
      </c>
      <c r="G53" s="25">
        <f>G52*(10^(G51/10)-1)</f>
        <v/>
      </c>
      <c r="H53" s="25">
        <f>H52*(10^(H51/10)-1)</f>
        <v/>
      </c>
      <c r="I53" s="25">
        <f>I52*(10^(I51/10)-1)</f>
        <v/>
      </c>
      <c r="J53" s="25">
        <f>J52*(10^(J51/10)-1)</f>
        <v/>
      </c>
      <c r="K53" s="25">
        <f>K52*(10^(K51/10)-1)</f>
        <v/>
      </c>
      <c r="L53" s="25">
        <f>L52*(10^(L51/10)-1)</f>
        <v/>
      </c>
      <c r="M53" s="25">
        <f>M52*(10^(M51/10)-1)</f>
        <v/>
      </c>
      <c r="N53" s="25">
        <f>N52*(10^(N51/10)-1)</f>
        <v/>
      </c>
      <c r="O53" s="25">
        <f>O52*(10^(O51/10)-1)</f>
        <v/>
      </c>
      <c r="P53" s="25">
        <f>P52*(10^(P51/10)-1)</f>
        <v/>
      </c>
      <c r="Q53" s="25">
        <f>Q52*(10^(Q51/10)-1)</f>
        <v/>
      </c>
      <c r="R53" s="25">
        <f>R52*(10^(R51/10)-1)</f>
        <v/>
      </c>
      <c r="S53" s="25">
        <f>S52*(10^(S51/10)-1)</f>
        <v/>
      </c>
    </row>
    <row r="54">
      <c r="A54" s="2" t="inlineStr">
        <is>
          <t>Receive bandwidth</t>
        </is>
      </c>
      <c r="B54" s="2" t="inlineStr">
        <is>
          <t>BWRX</t>
        </is>
      </c>
      <c r="C54" s="2" t="inlineStr">
        <is>
          <t>kHz</t>
        </is>
      </c>
      <c r="D54" s="4" t="inlineStr">
        <is>
          <t>ASSUMPTION: channel filter for the chosen rate</t>
        </is>
      </c>
      <c r="E54" s="13" t="n">
        <v>125</v>
      </c>
      <c r="F54" s="13" t="n">
        <v>200</v>
      </c>
      <c r="G54" s="13" t="n">
        <v>200</v>
      </c>
      <c r="H54" s="13" t="n">
        <v>100</v>
      </c>
      <c r="I54" s="13" t="n">
        <v>1000</v>
      </c>
      <c r="J54" s="13" t="n">
        <v>2000</v>
      </c>
      <c r="K54" s="13" t="n">
        <v>125</v>
      </c>
      <c r="L54" s="13" t="n">
        <v>200</v>
      </c>
      <c r="M54" s="13" t="n">
        <v>500</v>
      </c>
      <c r="N54" s="13" t="n">
        <v>500</v>
      </c>
      <c r="O54" s="13" t="n">
        <v>125</v>
      </c>
      <c r="P54" s="13" t="n">
        <v>500</v>
      </c>
      <c r="Q54" s="13" t="n">
        <v>200</v>
      </c>
      <c r="R54" s="13" t="n">
        <v>200</v>
      </c>
      <c r="S54" s="13" t="n">
        <v>200</v>
      </c>
    </row>
    <row r="55">
      <c r="A55" s="2" t="inlineStr">
        <is>
          <t>Antenna temperature</t>
        </is>
      </c>
      <c r="B55" s="2" t="inlineStr">
        <is>
          <t>TAnt</t>
        </is>
      </c>
      <c r="C55" s="2" t="inlineStr">
        <is>
          <t>K</t>
        </is>
      </c>
      <c r="D55" s="4" t="inlineStr"/>
      <c r="E55" s="13" t="n">
        <v>300</v>
      </c>
      <c r="F55" s="13" t="n">
        <v>300</v>
      </c>
      <c r="G55" s="13" t="n">
        <v>300</v>
      </c>
      <c r="H55" s="13" t="n">
        <v>300</v>
      </c>
      <c r="I55" s="13" t="n">
        <v>300</v>
      </c>
      <c r="J55" s="13" t="n">
        <v>300</v>
      </c>
      <c r="K55" s="13" t="n">
        <v>300</v>
      </c>
      <c r="L55" s="13" t="n">
        <v>300</v>
      </c>
      <c r="M55" s="13" t="n">
        <v>300</v>
      </c>
      <c r="N55" s="13" t="n">
        <v>300</v>
      </c>
      <c r="O55" s="13" t="n">
        <v>300</v>
      </c>
      <c r="P55" s="13" t="n">
        <v>300</v>
      </c>
      <c r="Q55" s="13" t="n">
        <v>300</v>
      </c>
      <c r="R55" s="13" t="n">
        <v>300</v>
      </c>
      <c r="S55" s="13" t="n">
        <v>300</v>
      </c>
    </row>
    <row r="56">
      <c r="A56" s="2" t="inlineStr">
        <is>
          <t>Boltzmann constant (mantissa)</t>
        </is>
      </c>
      <c r="B56" s="2" t="inlineStr">
        <is>
          <t>k</t>
        </is>
      </c>
      <c r="C56" s="2" t="inlineStr">
        <is>
          <t>1e-23 J/K</t>
        </is>
      </c>
      <c r="D56" s="4" t="inlineStr">
        <is>
          <t>k = 1.38e-23 J/K (as course sheet); exponent applied in Pn</t>
        </is>
      </c>
      <c r="E56" s="19" t="n">
        <v>1.38</v>
      </c>
      <c r="F56" s="19" t="n">
        <v>1.38</v>
      </c>
      <c r="G56" s="19" t="n">
        <v>1.38</v>
      </c>
      <c r="H56" s="19" t="n">
        <v>1.38</v>
      </c>
      <c r="I56" s="19" t="n">
        <v>1.38</v>
      </c>
      <c r="J56" s="19" t="n">
        <v>1.38</v>
      </c>
      <c r="K56" s="19" t="n">
        <v>1.38</v>
      </c>
      <c r="L56" s="19" t="n">
        <v>1.38</v>
      </c>
      <c r="M56" s="19" t="n">
        <v>1.38</v>
      </c>
      <c r="N56" s="19" t="n">
        <v>1.38</v>
      </c>
      <c r="O56" s="19" t="n">
        <v>1.38</v>
      </c>
      <c r="P56" s="19" t="n">
        <v>1.38</v>
      </c>
      <c r="Q56" s="19" t="n">
        <v>1.38</v>
      </c>
      <c r="R56" s="19" t="n">
        <v>1.38</v>
      </c>
      <c r="S56" s="19" t="n">
        <v>1.38</v>
      </c>
    </row>
    <row r="57">
      <c r="A57" s="2" t="inlineStr">
        <is>
          <t>Noise power at RX</t>
        </is>
      </c>
      <c r="B57" s="2" t="inlineStr">
        <is>
          <t>Pn</t>
        </is>
      </c>
      <c r="C57" s="2" t="inlineStr">
        <is>
          <t>dBm</t>
        </is>
      </c>
      <c r="D57" s="4" t="inlineStr">
        <is>
          <t>Pn = 10·log10(k·(TAnt+Te)·BW) + 30</t>
        </is>
      </c>
      <c r="E57" s="15">
        <f>10*LOG10(E56*(E55+E53)*E54*1000)-230+30</f>
        <v/>
      </c>
      <c r="F57" s="15">
        <f>10*LOG10(F56*(F55+F53)*F54*1000)-230+30</f>
        <v/>
      </c>
      <c r="G57" s="15">
        <f>10*LOG10(G56*(G55+G53)*G54*1000)-230+30</f>
        <v/>
      </c>
      <c r="H57" s="15">
        <f>10*LOG10(H56*(H55+H53)*H54*1000)-230+30</f>
        <v/>
      </c>
      <c r="I57" s="15">
        <f>10*LOG10(I56*(I55+I53)*I54*1000)-230+30</f>
        <v/>
      </c>
      <c r="J57" s="15">
        <f>10*LOG10(J56*(J55+J53)*J54*1000)-230+30</f>
        <v/>
      </c>
      <c r="K57" s="15">
        <f>10*LOG10(K56*(K55+K53)*K54*1000)-230+30</f>
        <v/>
      </c>
      <c r="L57" s="15">
        <f>10*LOG10(L56*(L55+L53)*L54*1000)-230+30</f>
        <v/>
      </c>
      <c r="M57" s="15">
        <f>10*LOG10(M56*(M55+M53)*M54*1000)-230+30</f>
        <v/>
      </c>
      <c r="N57" s="15">
        <f>10*LOG10(N56*(N55+N53)*N54*1000)-230+30</f>
        <v/>
      </c>
      <c r="O57" s="15">
        <f>10*LOG10(O56*(O55+O53)*O54*1000)-230+30</f>
        <v/>
      </c>
      <c r="P57" s="15">
        <f>10*LOG10(P56*(P55+P53)*P54*1000)-230+30</f>
        <v/>
      </c>
      <c r="Q57" s="15">
        <f>10*LOG10(Q56*(Q55+Q53)*Q54*1000)-230+30</f>
        <v/>
      </c>
      <c r="R57" s="15">
        <f>10*LOG10(R56*(R55+R53)*R54*1000)-230+30</f>
        <v/>
      </c>
      <c r="S57" s="15">
        <f>10*LOG10(S56*(S55+S53)*S54*1000)-230+30</f>
        <v/>
      </c>
    </row>
    <row r="58">
      <c r="A58" s="2" t="inlineStr">
        <is>
          <t>SNR at sensitivity</t>
        </is>
      </c>
      <c r="B58" s="2" t="inlineStr"/>
      <c r="C58" s="2" t="inlineStr">
        <is>
          <t>dB</t>
        </is>
      </c>
      <c r="D58" s="4" t="inlineStr">
        <is>
          <t>SNR at sensitivity = Sens - Pn (should be ~8-15 dB for FSK)</t>
        </is>
      </c>
      <c r="E58" s="15">
        <f>E44-E57</f>
        <v/>
      </c>
      <c r="F58" s="15">
        <f>F44-F57</f>
        <v/>
      </c>
      <c r="G58" s="15">
        <f>G44-G57</f>
        <v/>
      </c>
      <c r="H58" s="15">
        <f>H44-H57</f>
        <v/>
      </c>
      <c r="I58" s="15">
        <f>I44-I57</f>
        <v/>
      </c>
      <c r="J58" s="15">
        <f>J44-J57</f>
        <v/>
      </c>
      <c r="K58" s="15">
        <f>K44-K57</f>
        <v/>
      </c>
      <c r="L58" s="15">
        <f>L44-L57</f>
        <v/>
      </c>
      <c r="M58" s="15">
        <f>M44-M57</f>
        <v/>
      </c>
      <c r="N58" s="15">
        <f>N44-N57</f>
        <v/>
      </c>
      <c r="O58" s="15">
        <f>O44-O57</f>
        <v/>
      </c>
      <c r="P58" s="15">
        <f>P44-P57</f>
        <v/>
      </c>
      <c r="Q58" s="15">
        <f>Q44-Q57</f>
        <v/>
      </c>
      <c r="R58" s="15">
        <f>R44-R57</f>
        <v/>
      </c>
      <c r="S58" s="15">
        <f>S44-S57</f>
        <v/>
      </c>
    </row>
    <row r="59">
      <c r="A59" s="2" t="inlineStr">
        <is>
          <t>SNR at PRFE</t>
        </is>
      </c>
      <c r="B59" s="2" t="inlineStr">
        <is>
          <t>SNR</t>
        </is>
      </c>
      <c r="C59" s="2" t="inlineStr">
        <is>
          <t>dB</t>
        </is>
      </c>
      <c r="D59" s="4" t="inlineStr">
        <is>
          <t>SNR = PRFE - Pn</t>
        </is>
      </c>
      <c r="E59" s="15">
        <f>E43-E57</f>
        <v/>
      </c>
      <c r="F59" s="15">
        <f>F43-F57</f>
        <v/>
      </c>
      <c r="G59" s="15">
        <f>G43-G57</f>
        <v/>
      </c>
      <c r="H59" s="15">
        <f>H43-H57</f>
        <v/>
      </c>
      <c r="I59" s="15">
        <f>I43-I57</f>
        <v/>
      </c>
      <c r="J59" s="15">
        <f>J43-J57</f>
        <v/>
      </c>
      <c r="K59" s="15">
        <f>K43-K57</f>
        <v/>
      </c>
      <c r="L59" s="15">
        <f>L43-L57</f>
        <v/>
      </c>
      <c r="M59" s="15">
        <f>M43-M57</f>
        <v/>
      </c>
      <c r="N59" s="15">
        <f>N43-N57</f>
        <v/>
      </c>
      <c r="O59" s="15">
        <f>O43-O57</f>
        <v/>
      </c>
      <c r="P59" s="15">
        <f>P43-P57</f>
        <v/>
      </c>
      <c r="Q59" s="15">
        <f>Q43-Q57</f>
        <v/>
      </c>
      <c r="R59" s="15">
        <f>R43-R57</f>
        <v/>
      </c>
      <c r="S59" s="15">
        <f>S43-S57</f>
        <v/>
      </c>
    </row>
    <row r="61">
      <c r="A61" s="3" t="inlineStr">
        <is>
          <t>Scenario notes</t>
        </is>
      </c>
    </row>
    <row r="62">
      <c r="A62" s="2" t="inlineStr">
        <is>
          <t>S1: SRI 70 m | RFM69HCW 868 | 38.4 kbps</t>
        </is>
      </c>
      <c r="D62" s="4" t="inlineStr">
        <is>
          <t>RFM69HCW +17 dBm (+20 dBm only at &lt;=1 % duty cycle per datasheet)</t>
        </is>
      </c>
    </row>
    <row r="63">
      <c r="A63" s="2" t="inlineStr">
        <is>
          <t>S2: SRI 70 m | RFM69HCW 868 | 100 kbps</t>
        </is>
      </c>
      <c r="D63" s="4" t="inlineStr">
        <is>
          <t>sensitivity at 100 kbps is an ESTIMATE (datasheet gives 38.4 kbps max)</t>
        </is>
      </c>
    </row>
    <row r="64">
      <c r="A64" s="2" t="inlineStr">
        <is>
          <t>S3: SRI 70 m | Si4463 868 | 100 kbps</t>
        </is>
      </c>
      <c r="D64" s="4" t="inlineStr">
        <is>
          <t>Si4463 typ -104 dBm @100 kbps GFSK (BER 0.1 %)</t>
        </is>
      </c>
    </row>
    <row r="65">
      <c r="A65" s="2" t="inlineStr">
        <is>
          <t>S4: SRI 70 m | CC1101 868 | 38.4 kbps</t>
        </is>
      </c>
      <c r="D65" s="4" t="inlineStr">
        <is>
          <t>CC1101 +12 dBm max at 868</t>
        </is>
      </c>
    </row>
    <row r="66">
      <c r="A66" s="2" t="inlineStr">
        <is>
          <t>S5: SRI 70 m | nRF24 2.4G | 1 Mbps</t>
        </is>
      </c>
      <c r="D66" s="4" t="inlineStr">
        <is>
          <t>nRF24L01+ 0 dBm, 2 dBi whips</t>
        </is>
      </c>
    </row>
    <row r="67">
      <c r="A67" s="2" t="inlineStr">
        <is>
          <t>S6: SRI 70 m | nRF24 2.4G | 2 Mbps</t>
        </is>
      </c>
      <c r="D67" s="4" t="inlineStr">
        <is>
          <t>nRF24L01+ 0 dBm, 2 dBi whips</t>
        </is>
      </c>
    </row>
    <row r="68">
      <c r="A68" s="2" t="inlineStr">
        <is>
          <t>S7: MRM 260 m | RFM69HCW 868 | 38.4 kbps</t>
        </is>
      </c>
      <c r="D68" s="4" t="inlineStr">
        <is>
          <t>RFM69HCW +17 dBm (+20 dBm only at &lt;=1 % duty cycle per datasheet)</t>
        </is>
      </c>
    </row>
    <row r="69">
      <c r="A69" s="2" t="inlineStr">
        <is>
          <t>S8: MRM 260 m | Si4463 868 | 100 kbps</t>
        </is>
      </c>
      <c r="D69" s="4" t="inlineStr">
        <is>
          <t>Si4463 typ -104 dBm @100 kbps GFSK (BER 0.1 %)</t>
        </is>
      </c>
    </row>
    <row r="70">
      <c r="A70" s="2" t="inlineStr">
        <is>
          <t>S9: MRM 260 m | nRF24 2.4G | 250 kbps</t>
        </is>
      </c>
      <c r="D70" s="4" t="inlineStr">
        <is>
          <t>nRF24L01+ 0 dBm, 2 dBi whips</t>
        </is>
      </c>
    </row>
    <row r="71">
      <c r="A71" s="2" t="inlineStr">
        <is>
          <t>S10: MRM 260 m | nRF24 2.4G | 250 kbps, 8 dBi patches</t>
        </is>
      </c>
      <c r="D71" s="4" t="inlineStr">
        <is>
          <t>nRF24L01+ 0 dBm, 2 dBi whips</t>
        </is>
      </c>
    </row>
    <row r="72">
      <c r="A72" s="2" t="inlineStr">
        <is>
          <t>S11: NM hop 100 m | RFM69HCW 868 | 38.4 kbps, -10 dB obstr.</t>
        </is>
      </c>
      <c r="D72" s="4" t="inlineStr">
        <is>
          <t>RFM69HCW +17 dBm (+20 dBm only at &lt;=1 % duty cycle per datasheet)</t>
        </is>
      </c>
    </row>
    <row r="73">
      <c r="A73" s="2" t="inlineStr">
        <is>
          <t>S12: NM hop 100 m | nRF24 2.4G | 250 kbps, -10 dB obstr.</t>
        </is>
      </c>
      <c r="D73" s="4" t="inlineStr">
        <is>
          <t>nRF24L01+ 0 dBm, 2 dBi whips</t>
        </is>
      </c>
    </row>
    <row r="74">
      <c r="A74" s="2" t="inlineStr">
        <is>
          <t>S13: MRM 260 m | RFM69HCW 868 | 100 kbps (baseline)</t>
        </is>
      </c>
      <c r="D74" s="4" t="inlineStr">
        <is>
          <t>sensitivity at 100 kbps is an ESTIMATE (datasheet gives 38.4 kbps max)</t>
        </is>
      </c>
    </row>
    <row r="75">
      <c r="A75" s="2" t="inlineStr">
        <is>
          <t>S14: NM hop 100 m | RFM69HCW 868 | 100 kbps, -10 dB obstr. (baseline)</t>
        </is>
      </c>
      <c r="D75" s="4" t="inlineStr">
        <is>
          <t>sensitivity at 100 kbps is an ESTIMATE (datasheet gives 38.4 kbps max)</t>
        </is>
      </c>
    </row>
    <row r="76">
      <c r="A76" s="2" t="inlineStr">
        <is>
          <t>S15: Bench 70 m | RFM69HCW 869.85 | 100 kbps, +9 dBm (BENCH_5MW)</t>
        </is>
      </c>
      <c r="D76" s="4" t="inlineStr">
        <is>
          <t>869.70-870.00 MHz: 5 mW e.r.p., no duty-cycle limit; for repeated tests</t>
        </is>
      </c>
    </row>
  </sheetData>
  <mergeCells count="1"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Flat-earth margin (dB) vs common antenna height (both ends) - beyond the breakpoint, margin grows 20·log10(h1·h2)</t>
        </is>
      </c>
    </row>
    <row r="2">
      <c r="A2" s="4" t="inlineStr">
        <is>
          <t>Each cell recomputes the Link Budget column with hTX = hRX = height in row 4. Values in the 'interference zone' (see Link Budget regime row) can show artificial |cos| nulls.</t>
        </is>
      </c>
    </row>
    <row r="4">
      <c r="A4" s="3" t="inlineStr">
        <is>
          <t>Scenario  \  height (m)</t>
        </is>
      </c>
      <c r="B4" s="26" t="n">
        <v>0.5</v>
      </c>
      <c r="C4" s="26" t="n">
        <v>0.75</v>
      </c>
      <c r="D4" s="26" t="n">
        <v>1</v>
      </c>
      <c r="E4" s="26" t="n">
        <v>1.25</v>
      </c>
      <c r="F4" s="26" t="n">
        <v>1.5</v>
      </c>
    </row>
    <row r="5">
      <c r="A5" s="27">
        <f>"S1  "&amp;'Link Budget'!E5&amp;" | "&amp;'Link Budget'!E6</f>
        <v/>
      </c>
      <c r="B5" s="28">
        <f>'Link Budget'!E20+20*LOG10('Link Budget'!E13/(4*PI()*'Link Budget'!E24))+10*LOG10(1+'Link Budget'!E27^2-2*'Link Budget'!E27*ABS(COS(2*PI()*(SQRT('Link Budget'!E24^2+(2*B$4)^2)-'Link Budget'!E24)/'Link Budget'!E13)))+'Link Budget'!E34+'Link Budget'!E35+'Link Budget'!E36+'Link Budget'!E40+'Link Budget'!E41-'Link Budget'!E44</f>
        <v/>
      </c>
      <c r="C5" s="28">
        <f>'Link Budget'!E20+20*LOG10('Link Budget'!E13/(4*PI()*'Link Budget'!E24))+10*LOG10(1+'Link Budget'!E27^2-2*'Link Budget'!E27*ABS(COS(2*PI()*(SQRT('Link Budget'!E24^2+(2*C$4)^2)-'Link Budget'!E24)/'Link Budget'!E13)))+'Link Budget'!E34+'Link Budget'!E35+'Link Budget'!E36+'Link Budget'!E40+'Link Budget'!E41-'Link Budget'!E44</f>
        <v/>
      </c>
      <c r="D5" s="28">
        <f>'Link Budget'!E20+20*LOG10('Link Budget'!E13/(4*PI()*'Link Budget'!E24))+10*LOG10(1+'Link Budget'!E27^2-2*'Link Budget'!E27*ABS(COS(2*PI()*(SQRT('Link Budget'!E24^2+(2*D$4)^2)-'Link Budget'!E24)/'Link Budget'!E13)))+'Link Budget'!E34+'Link Budget'!E35+'Link Budget'!E36+'Link Budget'!E40+'Link Budget'!E41-'Link Budget'!E44</f>
        <v/>
      </c>
      <c r="E5" s="28">
        <f>'Link Budget'!E20+20*LOG10('Link Budget'!E13/(4*PI()*'Link Budget'!E24))+10*LOG10(1+'Link Budget'!E27^2-2*'Link Budget'!E27*ABS(COS(2*PI()*(SQRT('Link Budget'!E24^2+(2*E$4)^2)-'Link Budget'!E24)/'Link Budget'!E13)))+'Link Budget'!E34+'Link Budget'!E35+'Link Budget'!E36+'Link Budget'!E40+'Link Budget'!E41-'Link Budget'!E44</f>
        <v/>
      </c>
      <c r="F5" s="28">
        <f>'Link Budget'!E20+20*LOG10('Link Budget'!E13/(4*PI()*'Link Budget'!E24))+10*LOG10(1+'Link Budget'!E27^2-2*'Link Budget'!E27*ABS(COS(2*PI()*(SQRT('Link Budget'!E24^2+(2*F$4)^2)-'Link Budget'!E24)/'Link Budget'!E13)))+'Link Budget'!E34+'Link Budget'!E35+'Link Budget'!E36+'Link Budget'!E40+'Link Budget'!E41-'Link Budget'!E44</f>
        <v/>
      </c>
    </row>
    <row r="6">
      <c r="A6" s="27">
        <f>"S2  "&amp;'Link Budget'!F5&amp;" | "&amp;'Link Budget'!F6</f>
        <v/>
      </c>
      <c r="B6" s="28">
        <f>'Link Budget'!F20+20*LOG10('Link Budget'!F13/(4*PI()*'Link Budget'!F24))+10*LOG10(1+'Link Budget'!F27^2-2*'Link Budget'!F27*ABS(COS(2*PI()*(SQRT('Link Budget'!F24^2+(2*B$4)^2)-'Link Budget'!F24)/'Link Budget'!F13)))+'Link Budget'!F34+'Link Budget'!F35+'Link Budget'!F36+'Link Budget'!F40+'Link Budget'!F41-'Link Budget'!F44</f>
        <v/>
      </c>
      <c r="C6" s="28">
        <f>'Link Budget'!F20+20*LOG10('Link Budget'!F13/(4*PI()*'Link Budget'!F24))+10*LOG10(1+'Link Budget'!F27^2-2*'Link Budget'!F27*ABS(COS(2*PI()*(SQRT('Link Budget'!F24^2+(2*C$4)^2)-'Link Budget'!F24)/'Link Budget'!F13)))+'Link Budget'!F34+'Link Budget'!F35+'Link Budget'!F36+'Link Budget'!F40+'Link Budget'!F41-'Link Budget'!F44</f>
        <v/>
      </c>
      <c r="D6" s="28">
        <f>'Link Budget'!F20+20*LOG10('Link Budget'!F13/(4*PI()*'Link Budget'!F24))+10*LOG10(1+'Link Budget'!F27^2-2*'Link Budget'!F27*ABS(COS(2*PI()*(SQRT('Link Budget'!F24^2+(2*D$4)^2)-'Link Budget'!F24)/'Link Budget'!F13)))+'Link Budget'!F34+'Link Budget'!F35+'Link Budget'!F36+'Link Budget'!F40+'Link Budget'!F41-'Link Budget'!F44</f>
        <v/>
      </c>
      <c r="E6" s="28">
        <f>'Link Budget'!F20+20*LOG10('Link Budget'!F13/(4*PI()*'Link Budget'!F24))+10*LOG10(1+'Link Budget'!F27^2-2*'Link Budget'!F27*ABS(COS(2*PI()*(SQRT('Link Budget'!F24^2+(2*E$4)^2)-'Link Budget'!F24)/'Link Budget'!F13)))+'Link Budget'!F34+'Link Budget'!F35+'Link Budget'!F36+'Link Budget'!F40+'Link Budget'!F41-'Link Budget'!F44</f>
        <v/>
      </c>
      <c r="F6" s="28">
        <f>'Link Budget'!F20+20*LOG10('Link Budget'!F13/(4*PI()*'Link Budget'!F24))+10*LOG10(1+'Link Budget'!F27^2-2*'Link Budget'!F27*ABS(COS(2*PI()*(SQRT('Link Budget'!F24^2+(2*F$4)^2)-'Link Budget'!F24)/'Link Budget'!F13)))+'Link Budget'!F34+'Link Budget'!F35+'Link Budget'!F36+'Link Budget'!F40+'Link Budget'!F41-'Link Budget'!F44</f>
        <v/>
      </c>
    </row>
    <row r="7">
      <c r="A7" s="27">
        <f>"S3  "&amp;'Link Budget'!G5&amp;" | "&amp;'Link Budget'!G6</f>
        <v/>
      </c>
      <c r="B7" s="28">
        <f>'Link Budget'!G20+20*LOG10('Link Budget'!G13/(4*PI()*'Link Budget'!G24))+10*LOG10(1+'Link Budget'!G27^2-2*'Link Budget'!G27*ABS(COS(2*PI()*(SQRT('Link Budget'!G24^2+(2*B$4)^2)-'Link Budget'!G24)/'Link Budget'!G13)))+'Link Budget'!G34+'Link Budget'!G35+'Link Budget'!G36+'Link Budget'!G40+'Link Budget'!G41-'Link Budget'!G44</f>
        <v/>
      </c>
      <c r="C7" s="28">
        <f>'Link Budget'!G20+20*LOG10('Link Budget'!G13/(4*PI()*'Link Budget'!G24))+10*LOG10(1+'Link Budget'!G27^2-2*'Link Budget'!G27*ABS(COS(2*PI()*(SQRT('Link Budget'!G24^2+(2*C$4)^2)-'Link Budget'!G24)/'Link Budget'!G13)))+'Link Budget'!G34+'Link Budget'!G35+'Link Budget'!G36+'Link Budget'!G40+'Link Budget'!G41-'Link Budget'!G44</f>
        <v/>
      </c>
      <c r="D7" s="28">
        <f>'Link Budget'!G20+20*LOG10('Link Budget'!G13/(4*PI()*'Link Budget'!G24))+10*LOG10(1+'Link Budget'!G27^2-2*'Link Budget'!G27*ABS(COS(2*PI()*(SQRT('Link Budget'!G24^2+(2*D$4)^2)-'Link Budget'!G24)/'Link Budget'!G13)))+'Link Budget'!G34+'Link Budget'!G35+'Link Budget'!G36+'Link Budget'!G40+'Link Budget'!G41-'Link Budget'!G44</f>
        <v/>
      </c>
      <c r="E7" s="28">
        <f>'Link Budget'!G20+20*LOG10('Link Budget'!G13/(4*PI()*'Link Budget'!G24))+10*LOG10(1+'Link Budget'!G27^2-2*'Link Budget'!G27*ABS(COS(2*PI()*(SQRT('Link Budget'!G24^2+(2*E$4)^2)-'Link Budget'!G24)/'Link Budget'!G13)))+'Link Budget'!G34+'Link Budget'!G35+'Link Budget'!G36+'Link Budget'!G40+'Link Budget'!G41-'Link Budget'!G44</f>
        <v/>
      </c>
      <c r="F7" s="28">
        <f>'Link Budget'!G20+20*LOG10('Link Budget'!G13/(4*PI()*'Link Budget'!G24))+10*LOG10(1+'Link Budget'!G27^2-2*'Link Budget'!G27*ABS(COS(2*PI()*(SQRT('Link Budget'!G24^2+(2*F$4)^2)-'Link Budget'!G24)/'Link Budget'!G13)))+'Link Budget'!G34+'Link Budget'!G35+'Link Budget'!G36+'Link Budget'!G40+'Link Budget'!G41-'Link Budget'!G44</f>
        <v/>
      </c>
    </row>
    <row r="8">
      <c r="A8" s="27">
        <f>"S4  "&amp;'Link Budget'!H5&amp;" | "&amp;'Link Budget'!H6</f>
        <v/>
      </c>
      <c r="B8" s="28">
        <f>'Link Budget'!H20+20*LOG10('Link Budget'!H13/(4*PI()*'Link Budget'!H24))+10*LOG10(1+'Link Budget'!H27^2-2*'Link Budget'!H27*ABS(COS(2*PI()*(SQRT('Link Budget'!H24^2+(2*B$4)^2)-'Link Budget'!H24)/'Link Budget'!H13)))+'Link Budget'!H34+'Link Budget'!H35+'Link Budget'!H36+'Link Budget'!H40+'Link Budget'!H41-'Link Budget'!H44</f>
        <v/>
      </c>
      <c r="C8" s="28">
        <f>'Link Budget'!H20+20*LOG10('Link Budget'!H13/(4*PI()*'Link Budget'!H24))+10*LOG10(1+'Link Budget'!H27^2-2*'Link Budget'!H27*ABS(COS(2*PI()*(SQRT('Link Budget'!H24^2+(2*C$4)^2)-'Link Budget'!H24)/'Link Budget'!H13)))+'Link Budget'!H34+'Link Budget'!H35+'Link Budget'!H36+'Link Budget'!H40+'Link Budget'!H41-'Link Budget'!H44</f>
        <v/>
      </c>
      <c r="D8" s="28">
        <f>'Link Budget'!H20+20*LOG10('Link Budget'!H13/(4*PI()*'Link Budget'!H24))+10*LOG10(1+'Link Budget'!H27^2-2*'Link Budget'!H27*ABS(COS(2*PI()*(SQRT('Link Budget'!H24^2+(2*D$4)^2)-'Link Budget'!H24)/'Link Budget'!H13)))+'Link Budget'!H34+'Link Budget'!H35+'Link Budget'!H36+'Link Budget'!H40+'Link Budget'!H41-'Link Budget'!H44</f>
        <v/>
      </c>
      <c r="E8" s="28">
        <f>'Link Budget'!H20+20*LOG10('Link Budget'!H13/(4*PI()*'Link Budget'!H24))+10*LOG10(1+'Link Budget'!H27^2-2*'Link Budget'!H27*ABS(COS(2*PI()*(SQRT('Link Budget'!H24^2+(2*E$4)^2)-'Link Budget'!H24)/'Link Budget'!H13)))+'Link Budget'!H34+'Link Budget'!H35+'Link Budget'!H36+'Link Budget'!H40+'Link Budget'!H41-'Link Budget'!H44</f>
        <v/>
      </c>
      <c r="F8" s="28">
        <f>'Link Budget'!H20+20*LOG10('Link Budget'!H13/(4*PI()*'Link Budget'!H24))+10*LOG10(1+'Link Budget'!H27^2-2*'Link Budget'!H27*ABS(COS(2*PI()*(SQRT('Link Budget'!H24^2+(2*F$4)^2)-'Link Budget'!H24)/'Link Budget'!H13)))+'Link Budget'!H34+'Link Budget'!H35+'Link Budget'!H36+'Link Budget'!H40+'Link Budget'!H41-'Link Budget'!H44</f>
        <v/>
      </c>
    </row>
    <row r="9">
      <c r="A9" s="27">
        <f>"S5  "&amp;'Link Budget'!I5&amp;" | "&amp;'Link Budget'!I6</f>
        <v/>
      </c>
      <c r="B9" s="28">
        <f>'Link Budget'!I20+20*LOG10('Link Budget'!I13/(4*PI()*'Link Budget'!I24))+10*LOG10(1+'Link Budget'!I27^2-2*'Link Budget'!I27*ABS(COS(2*PI()*(SQRT('Link Budget'!I24^2+(2*B$4)^2)-'Link Budget'!I24)/'Link Budget'!I13)))+'Link Budget'!I34+'Link Budget'!I35+'Link Budget'!I36+'Link Budget'!I40+'Link Budget'!I41-'Link Budget'!I44</f>
        <v/>
      </c>
      <c r="C9" s="28">
        <f>'Link Budget'!I20+20*LOG10('Link Budget'!I13/(4*PI()*'Link Budget'!I24))+10*LOG10(1+'Link Budget'!I27^2-2*'Link Budget'!I27*ABS(COS(2*PI()*(SQRT('Link Budget'!I24^2+(2*C$4)^2)-'Link Budget'!I24)/'Link Budget'!I13)))+'Link Budget'!I34+'Link Budget'!I35+'Link Budget'!I36+'Link Budget'!I40+'Link Budget'!I41-'Link Budget'!I44</f>
        <v/>
      </c>
      <c r="D9" s="28">
        <f>'Link Budget'!I20+20*LOG10('Link Budget'!I13/(4*PI()*'Link Budget'!I24))+10*LOG10(1+'Link Budget'!I27^2-2*'Link Budget'!I27*ABS(COS(2*PI()*(SQRT('Link Budget'!I24^2+(2*D$4)^2)-'Link Budget'!I24)/'Link Budget'!I13)))+'Link Budget'!I34+'Link Budget'!I35+'Link Budget'!I36+'Link Budget'!I40+'Link Budget'!I41-'Link Budget'!I44</f>
        <v/>
      </c>
      <c r="E9" s="28">
        <f>'Link Budget'!I20+20*LOG10('Link Budget'!I13/(4*PI()*'Link Budget'!I24))+10*LOG10(1+'Link Budget'!I27^2-2*'Link Budget'!I27*ABS(COS(2*PI()*(SQRT('Link Budget'!I24^2+(2*E$4)^2)-'Link Budget'!I24)/'Link Budget'!I13)))+'Link Budget'!I34+'Link Budget'!I35+'Link Budget'!I36+'Link Budget'!I40+'Link Budget'!I41-'Link Budget'!I44</f>
        <v/>
      </c>
      <c r="F9" s="28">
        <f>'Link Budget'!I20+20*LOG10('Link Budget'!I13/(4*PI()*'Link Budget'!I24))+10*LOG10(1+'Link Budget'!I27^2-2*'Link Budget'!I27*ABS(COS(2*PI()*(SQRT('Link Budget'!I24^2+(2*F$4)^2)-'Link Budget'!I24)/'Link Budget'!I13)))+'Link Budget'!I34+'Link Budget'!I35+'Link Budget'!I36+'Link Budget'!I40+'Link Budget'!I41-'Link Budget'!I44</f>
        <v/>
      </c>
    </row>
    <row r="10">
      <c r="A10" s="27">
        <f>"S6  "&amp;'Link Budget'!J5&amp;" | "&amp;'Link Budget'!J6</f>
        <v/>
      </c>
      <c r="B10" s="28">
        <f>'Link Budget'!J20+20*LOG10('Link Budget'!J13/(4*PI()*'Link Budget'!J24))+10*LOG10(1+'Link Budget'!J27^2-2*'Link Budget'!J27*ABS(COS(2*PI()*(SQRT('Link Budget'!J24^2+(2*B$4)^2)-'Link Budget'!J24)/'Link Budget'!J13)))+'Link Budget'!J34+'Link Budget'!J35+'Link Budget'!J36+'Link Budget'!J40+'Link Budget'!J41-'Link Budget'!J44</f>
        <v/>
      </c>
      <c r="C10" s="28">
        <f>'Link Budget'!J20+20*LOG10('Link Budget'!J13/(4*PI()*'Link Budget'!J24))+10*LOG10(1+'Link Budget'!J27^2-2*'Link Budget'!J27*ABS(COS(2*PI()*(SQRT('Link Budget'!J24^2+(2*C$4)^2)-'Link Budget'!J24)/'Link Budget'!J13)))+'Link Budget'!J34+'Link Budget'!J35+'Link Budget'!J36+'Link Budget'!J40+'Link Budget'!J41-'Link Budget'!J44</f>
        <v/>
      </c>
      <c r="D10" s="28">
        <f>'Link Budget'!J20+20*LOG10('Link Budget'!J13/(4*PI()*'Link Budget'!J24))+10*LOG10(1+'Link Budget'!J27^2-2*'Link Budget'!J27*ABS(COS(2*PI()*(SQRT('Link Budget'!J24^2+(2*D$4)^2)-'Link Budget'!J24)/'Link Budget'!J13)))+'Link Budget'!J34+'Link Budget'!J35+'Link Budget'!J36+'Link Budget'!J40+'Link Budget'!J41-'Link Budget'!J44</f>
        <v/>
      </c>
      <c r="E10" s="28">
        <f>'Link Budget'!J20+20*LOG10('Link Budget'!J13/(4*PI()*'Link Budget'!J24))+10*LOG10(1+'Link Budget'!J27^2-2*'Link Budget'!J27*ABS(COS(2*PI()*(SQRT('Link Budget'!J24^2+(2*E$4)^2)-'Link Budget'!J24)/'Link Budget'!J13)))+'Link Budget'!J34+'Link Budget'!J35+'Link Budget'!J36+'Link Budget'!J40+'Link Budget'!J41-'Link Budget'!J44</f>
        <v/>
      </c>
      <c r="F10" s="28">
        <f>'Link Budget'!J20+20*LOG10('Link Budget'!J13/(4*PI()*'Link Budget'!J24))+10*LOG10(1+'Link Budget'!J27^2-2*'Link Budget'!J27*ABS(COS(2*PI()*(SQRT('Link Budget'!J24^2+(2*F$4)^2)-'Link Budget'!J24)/'Link Budget'!J13)))+'Link Budget'!J34+'Link Budget'!J35+'Link Budget'!J36+'Link Budget'!J40+'Link Budget'!J41-'Link Budget'!J44</f>
        <v/>
      </c>
    </row>
    <row r="11">
      <c r="A11" s="27">
        <f>"S7  "&amp;'Link Budget'!K5&amp;" | "&amp;'Link Budget'!K6</f>
        <v/>
      </c>
      <c r="B11" s="28">
        <f>'Link Budget'!K20+20*LOG10('Link Budget'!K13/(4*PI()*'Link Budget'!K24))+10*LOG10(1+'Link Budget'!K27^2-2*'Link Budget'!K27*ABS(COS(2*PI()*(SQRT('Link Budget'!K24^2+(2*B$4)^2)-'Link Budget'!K24)/'Link Budget'!K13)))+'Link Budget'!K34+'Link Budget'!K35+'Link Budget'!K36+'Link Budget'!K40+'Link Budget'!K41-'Link Budget'!K44</f>
        <v/>
      </c>
      <c r="C11" s="28">
        <f>'Link Budget'!K20+20*LOG10('Link Budget'!K13/(4*PI()*'Link Budget'!K24))+10*LOG10(1+'Link Budget'!K27^2-2*'Link Budget'!K27*ABS(COS(2*PI()*(SQRT('Link Budget'!K24^2+(2*C$4)^2)-'Link Budget'!K24)/'Link Budget'!K13)))+'Link Budget'!K34+'Link Budget'!K35+'Link Budget'!K36+'Link Budget'!K40+'Link Budget'!K41-'Link Budget'!K44</f>
        <v/>
      </c>
      <c r="D11" s="28">
        <f>'Link Budget'!K20+20*LOG10('Link Budget'!K13/(4*PI()*'Link Budget'!K24))+10*LOG10(1+'Link Budget'!K27^2-2*'Link Budget'!K27*ABS(COS(2*PI()*(SQRT('Link Budget'!K24^2+(2*D$4)^2)-'Link Budget'!K24)/'Link Budget'!K13)))+'Link Budget'!K34+'Link Budget'!K35+'Link Budget'!K36+'Link Budget'!K40+'Link Budget'!K41-'Link Budget'!K44</f>
        <v/>
      </c>
      <c r="E11" s="28">
        <f>'Link Budget'!K20+20*LOG10('Link Budget'!K13/(4*PI()*'Link Budget'!K24))+10*LOG10(1+'Link Budget'!K27^2-2*'Link Budget'!K27*ABS(COS(2*PI()*(SQRT('Link Budget'!K24^2+(2*E$4)^2)-'Link Budget'!K24)/'Link Budget'!K13)))+'Link Budget'!K34+'Link Budget'!K35+'Link Budget'!K36+'Link Budget'!K40+'Link Budget'!K41-'Link Budget'!K44</f>
        <v/>
      </c>
      <c r="F11" s="28">
        <f>'Link Budget'!K20+20*LOG10('Link Budget'!K13/(4*PI()*'Link Budget'!K24))+10*LOG10(1+'Link Budget'!K27^2-2*'Link Budget'!K27*ABS(COS(2*PI()*(SQRT('Link Budget'!K24^2+(2*F$4)^2)-'Link Budget'!K24)/'Link Budget'!K13)))+'Link Budget'!K34+'Link Budget'!K35+'Link Budget'!K36+'Link Budget'!K40+'Link Budget'!K41-'Link Budget'!K44</f>
        <v/>
      </c>
    </row>
    <row r="12">
      <c r="A12" s="27">
        <f>"S8  "&amp;'Link Budget'!L5&amp;" | "&amp;'Link Budget'!L6</f>
        <v/>
      </c>
      <c r="B12" s="28">
        <f>'Link Budget'!L20+20*LOG10('Link Budget'!L13/(4*PI()*'Link Budget'!L24))+10*LOG10(1+'Link Budget'!L27^2-2*'Link Budget'!L27*ABS(COS(2*PI()*(SQRT('Link Budget'!L24^2+(2*B$4)^2)-'Link Budget'!L24)/'Link Budget'!L13)))+'Link Budget'!L34+'Link Budget'!L35+'Link Budget'!L36+'Link Budget'!L40+'Link Budget'!L41-'Link Budget'!L44</f>
        <v/>
      </c>
      <c r="C12" s="28">
        <f>'Link Budget'!L20+20*LOG10('Link Budget'!L13/(4*PI()*'Link Budget'!L24))+10*LOG10(1+'Link Budget'!L27^2-2*'Link Budget'!L27*ABS(COS(2*PI()*(SQRT('Link Budget'!L24^2+(2*C$4)^2)-'Link Budget'!L24)/'Link Budget'!L13)))+'Link Budget'!L34+'Link Budget'!L35+'Link Budget'!L36+'Link Budget'!L40+'Link Budget'!L41-'Link Budget'!L44</f>
        <v/>
      </c>
      <c r="D12" s="28">
        <f>'Link Budget'!L20+20*LOG10('Link Budget'!L13/(4*PI()*'Link Budget'!L24))+10*LOG10(1+'Link Budget'!L27^2-2*'Link Budget'!L27*ABS(COS(2*PI()*(SQRT('Link Budget'!L24^2+(2*D$4)^2)-'Link Budget'!L24)/'Link Budget'!L13)))+'Link Budget'!L34+'Link Budget'!L35+'Link Budget'!L36+'Link Budget'!L40+'Link Budget'!L41-'Link Budget'!L44</f>
        <v/>
      </c>
      <c r="E12" s="28">
        <f>'Link Budget'!L20+20*LOG10('Link Budget'!L13/(4*PI()*'Link Budget'!L24))+10*LOG10(1+'Link Budget'!L27^2-2*'Link Budget'!L27*ABS(COS(2*PI()*(SQRT('Link Budget'!L24^2+(2*E$4)^2)-'Link Budget'!L24)/'Link Budget'!L13)))+'Link Budget'!L34+'Link Budget'!L35+'Link Budget'!L36+'Link Budget'!L40+'Link Budget'!L41-'Link Budget'!L44</f>
        <v/>
      </c>
      <c r="F12" s="28">
        <f>'Link Budget'!L20+20*LOG10('Link Budget'!L13/(4*PI()*'Link Budget'!L24))+10*LOG10(1+'Link Budget'!L27^2-2*'Link Budget'!L27*ABS(COS(2*PI()*(SQRT('Link Budget'!L24^2+(2*F$4)^2)-'Link Budget'!L24)/'Link Budget'!L13)))+'Link Budget'!L34+'Link Budget'!L35+'Link Budget'!L36+'Link Budget'!L40+'Link Budget'!L41-'Link Budget'!L44</f>
        <v/>
      </c>
    </row>
    <row r="13">
      <c r="A13" s="27">
        <f>"S9  "&amp;'Link Budget'!M5&amp;" | "&amp;'Link Budget'!M6</f>
        <v/>
      </c>
      <c r="B13" s="28">
        <f>'Link Budget'!M20+20*LOG10('Link Budget'!M13/(4*PI()*'Link Budget'!M24))+10*LOG10(1+'Link Budget'!M27^2-2*'Link Budget'!M27*ABS(COS(2*PI()*(SQRT('Link Budget'!M24^2+(2*B$4)^2)-'Link Budget'!M24)/'Link Budget'!M13)))+'Link Budget'!M34+'Link Budget'!M35+'Link Budget'!M36+'Link Budget'!M40+'Link Budget'!M41-'Link Budget'!M44</f>
        <v/>
      </c>
      <c r="C13" s="28">
        <f>'Link Budget'!M20+20*LOG10('Link Budget'!M13/(4*PI()*'Link Budget'!M24))+10*LOG10(1+'Link Budget'!M27^2-2*'Link Budget'!M27*ABS(COS(2*PI()*(SQRT('Link Budget'!M24^2+(2*C$4)^2)-'Link Budget'!M24)/'Link Budget'!M13)))+'Link Budget'!M34+'Link Budget'!M35+'Link Budget'!M36+'Link Budget'!M40+'Link Budget'!M41-'Link Budget'!M44</f>
        <v/>
      </c>
      <c r="D13" s="28">
        <f>'Link Budget'!M20+20*LOG10('Link Budget'!M13/(4*PI()*'Link Budget'!M24))+10*LOG10(1+'Link Budget'!M27^2-2*'Link Budget'!M27*ABS(COS(2*PI()*(SQRT('Link Budget'!M24^2+(2*D$4)^2)-'Link Budget'!M24)/'Link Budget'!M13)))+'Link Budget'!M34+'Link Budget'!M35+'Link Budget'!M36+'Link Budget'!M40+'Link Budget'!M41-'Link Budget'!M44</f>
        <v/>
      </c>
      <c r="E13" s="28">
        <f>'Link Budget'!M20+20*LOG10('Link Budget'!M13/(4*PI()*'Link Budget'!M24))+10*LOG10(1+'Link Budget'!M27^2-2*'Link Budget'!M27*ABS(COS(2*PI()*(SQRT('Link Budget'!M24^2+(2*E$4)^2)-'Link Budget'!M24)/'Link Budget'!M13)))+'Link Budget'!M34+'Link Budget'!M35+'Link Budget'!M36+'Link Budget'!M40+'Link Budget'!M41-'Link Budget'!M44</f>
        <v/>
      </c>
      <c r="F13" s="28">
        <f>'Link Budget'!M20+20*LOG10('Link Budget'!M13/(4*PI()*'Link Budget'!M24))+10*LOG10(1+'Link Budget'!M27^2-2*'Link Budget'!M27*ABS(COS(2*PI()*(SQRT('Link Budget'!M24^2+(2*F$4)^2)-'Link Budget'!M24)/'Link Budget'!M13)))+'Link Budget'!M34+'Link Budget'!M35+'Link Budget'!M36+'Link Budget'!M40+'Link Budget'!M41-'Link Budget'!M44</f>
        <v/>
      </c>
    </row>
    <row r="14">
      <c r="A14" s="27">
        <f>"S10  "&amp;'Link Budget'!N5&amp;" | "&amp;'Link Budget'!N6</f>
        <v/>
      </c>
      <c r="B14" s="28">
        <f>'Link Budget'!N20+20*LOG10('Link Budget'!N13/(4*PI()*'Link Budget'!N24))+10*LOG10(1+'Link Budget'!N27^2-2*'Link Budget'!N27*ABS(COS(2*PI()*(SQRT('Link Budget'!N24^2+(2*B$4)^2)-'Link Budget'!N24)/'Link Budget'!N13)))+'Link Budget'!N34+'Link Budget'!N35+'Link Budget'!N36+'Link Budget'!N40+'Link Budget'!N41-'Link Budget'!N44</f>
        <v/>
      </c>
      <c r="C14" s="28">
        <f>'Link Budget'!N20+20*LOG10('Link Budget'!N13/(4*PI()*'Link Budget'!N24))+10*LOG10(1+'Link Budget'!N27^2-2*'Link Budget'!N27*ABS(COS(2*PI()*(SQRT('Link Budget'!N24^2+(2*C$4)^2)-'Link Budget'!N24)/'Link Budget'!N13)))+'Link Budget'!N34+'Link Budget'!N35+'Link Budget'!N36+'Link Budget'!N40+'Link Budget'!N41-'Link Budget'!N44</f>
        <v/>
      </c>
      <c r="D14" s="28">
        <f>'Link Budget'!N20+20*LOG10('Link Budget'!N13/(4*PI()*'Link Budget'!N24))+10*LOG10(1+'Link Budget'!N27^2-2*'Link Budget'!N27*ABS(COS(2*PI()*(SQRT('Link Budget'!N24^2+(2*D$4)^2)-'Link Budget'!N24)/'Link Budget'!N13)))+'Link Budget'!N34+'Link Budget'!N35+'Link Budget'!N36+'Link Budget'!N40+'Link Budget'!N41-'Link Budget'!N44</f>
        <v/>
      </c>
      <c r="E14" s="28">
        <f>'Link Budget'!N20+20*LOG10('Link Budget'!N13/(4*PI()*'Link Budget'!N24))+10*LOG10(1+'Link Budget'!N27^2-2*'Link Budget'!N27*ABS(COS(2*PI()*(SQRT('Link Budget'!N24^2+(2*E$4)^2)-'Link Budget'!N24)/'Link Budget'!N13)))+'Link Budget'!N34+'Link Budget'!N35+'Link Budget'!N36+'Link Budget'!N40+'Link Budget'!N41-'Link Budget'!N44</f>
        <v/>
      </c>
      <c r="F14" s="28">
        <f>'Link Budget'!N20+20*LOG10('Link Budget'!N13/(4*PI()*'Link Budget'!N24))+10*LOG10(1+'Link Budget'!N27^2-2*'Link Budget'!N27*ABS(COS(2*PI()*(SQRT('Link Budget'!N24^2+(2*F$4)^2)-'Link Budget'!N24)/'Link Budget'!N13)))+'Link Budget'!N34+'Link Budget'!N35+'Link Budget'!N36+'Link Budget'!N40+'Link Budget'!N41-'Link Budget'!N44</f>
        <v/>
      </c>
    </row>
    <row r="15">
      <c r="A15" s="27">
        <f>"S11  "&amp;'Link Budget'!O5&amp;" | "&amp;'Link Budget'!O6</f>
        <v/>
      </c>
      <c r="B15" s="28">
        <f>'Link Budget'!O20+20*LOG10('Link Budget'!O13/(4*PI()*'Link Budget'!O24))+10*LOG10(1+'Link Budget'!O27^2-2*'Link Budget'!O27*ABS(COS(2*PI()*(SQRT('Link Budget'!O24^2+(2*B$4)^2)-'Link Budget'!O24)/'Link Budget'!O13)))+'Link Budget'!O34+'Link Budget'!O35+'Link Budget'!O36+'Link Budget'!O40+'Link Budget'!O41-'Link Budget'!O44</f>
        <v/>
      </c>
      <c r="C15" s="28">
        <f>'Link Budget'!O20+20*LOG10('Link Budget'!O13/(4*PI()*'Link Budget'!O24))+10*LOG10(1+'Link Budget'!O27^2-2*'Link Budget'!O27*ABS(COS(2*PI()*(SQRT('Link Budget'!O24^2+(2*C$4)^2)-'Link Budget'!O24)/'Link Budget'!O13)))+'Link Budget'!O34+'Link Budget'!O35+'Link Budget'!O36+'Link Budget'!O40+'Link Budget'!O41-'Link Budget'!O44</f>
        <v/>
      </c>
      <c r="D15" s="28">
        <f>'Link Budget'!O20+20*LOG10('Link Budget'!O13/(4*PI()*'Link Budget'!O24))+10*LOG10(1+'Link Budget'!O27^2-2*'Link Budget'!O27*ABS(COS(2*PI()*(SQRT('Link Budget'!O24^2+(2*D$4)^2)-'Link Budget'!O24)/'Link Budget'!O13)))+'Link Budget'!O34+'Link Budget'!O35+'Link Budget'!O36+'Link Budget'!O40+'Link Budget'!O41-'Link Budget'!O44</f>
        <v/>
      </c>
      <c r="E15" s="28">
        <f>'Link Budget'!O20+20*LOG10('Link Budget'!O13/(4*PI()*'Link Budget'!O24))+10*LOG10(1+'Link Budget'!O27^2-2*'Link Budget'!O27*ABS(COS(2*PI()*(SQRT('Link Budget'!O24^2+(2*E$4)^2)-'Link Budget'!O24)/'Link Budget'!O13)))+'Link Budget'!O34+'Link Budget'!O35+'Link Budget'!O36+'Link Budget'!O40+'Link Budget'!O41-'Link Budget'!O44</f>
        <v/>
      </c>
      <c r="F15" s="28">
        <f>'Link Budget'!O20+20*LOG10('Link Budget'!O13/(4*PI()*'Link Budget'!O24))+10*LOG10(1+'Link Budget'!O27^2-2*'Link Budget'!O27*ABS(COS(2*PI()*(SQRT('Link Budget'!O24^2+(2*F$4)^2)-'Link Budget'!O24)/'Link Budget'!O13)))+'Link Budget'!O34+'Link Budget'!O35+'Link Budget'!O36+'Link Budget'!O40+'Link Budget'!O41-'Link Budget'!O44</f>
        <v/>
      </c>
    </row>
    <row r="16">
      <c r="A16" s="27">
        <f>"S12  "&amp;'Link Budget'!P5&amp;" | "&amp;'Link Budget'!P6</f>
        <v/>
      </c>
      <c r="B16" s="28">
        <f>'Link Budget'!P20+20*LOG10('Link Budget'!P13/(4*PI()*'Link Budget'!P24))+10*LOG10(1+'Link Budget'!P27^2-2*'Link Budget'!P27*ABS(COS(2*PI()*(SQRT('Link Budget'!P24^2+(2*B$4)^2)-'Link Budget'!P24)/'Link Budget'!P13)))+'Link Budget'!P34+'Link Budget'!P35+'Link Budget'!P36+'Link Budget'!P40+'Link Budget'!P41-'Link Budget'!P44</f>
        <v/>
      </c>
      <c r="C16" s="28">
        <f>'Link Budget'!P20+20*LOG10('Link Budget'!P13/(4*PI()*'Link Budget'!P24))+10*LOG10(1+'Link Budget'!P27^2-2*'Link Budget'!P27*ABS(COS(2*PI()*(SQRT('Link Budget'!P24^2+(2*C$4)^2)-'Link Budget'!P24)/'Link Budget'!P13)))+'Link Budget'!P34+'Link Budget'!P35+'Link Budget'!P36+'Link Budget'!P40+'Link Budget'!P41-'Link Budget'!P44</f>
        <v/>
      </c>
      <c r="D16" s="28">
        <f>'Link Budget'!P20+20*LOG10('Link Budget'!P13/(4*PI()*'Link Budget'!P24))+10*LOG10(1+'Link Budget'!P27^2-2*'Link Budget'!P27*ABS(COS(2*PI()*(SQRT('Link Budget'!P24^2+(2*D$4)^2)-'Link Budget'!P24)/'Link Budget'!P13)))+'Link Budget'!P34+'Link Budget'!P35+'Link Budget'!P36+'Link Budget'!P40+'Link Budget'!P41-'Link Budget'!P44</f>
        <v/>
      </c>
      <c r="E16" s="28">
        <f>'Link Budget'!P20+20*LOG10('Link Budget'!P13/(4*PI()*'Link Budget'!P24))+10*LOG10(1+'Link Budget'!P27^2-2*'Link Budget'!P27*ABS(COS(2*PI()*(SQRT('Link Budget'!P24^2+(2*E$4)^2)-'Link Budget'!P24)/'Link Budget'!P13)))+'Link Budget'!P34+'Link Budget'!P35+'Link Budget'!P36+'Link Budget'!P40+'Link Budget'!P41-'Link Budget'!P44</f>
        <v/>
      </c>
      <c r="F16" s="28">
        <f>'Link Budget'!P20+20*LOG10('Link Budget'!P13/(4*PI()*'Link Budget'!P24))+10*LOG10(1+'Link Budget'!P27^2-2*'Link Budget'!P27*ABS(COS(2*PI()*(SQRT('Link Budget'!P24^2+(2*F$4)^2)-'Link Budget'!P24)/'Link Budget'!P13)))+'Link Budget'!P34+'Link Budget'!P35+'Link Budget'!P36+'Link Budget'!P40+'Link Budget'!P41-'Link Budget'!P44</f>
        <v/>
      </c>
    </row>
    <row r="17">
      <c r="A17" s="27">
        <f>"S13  "&amp;'Link Budget'!Q5&amp;" | "&amp;'Link Budget'!Q6</f>
        <v/>
      </c>
      <c r="B17" s="28">
        <f>'Link Budget'!Q20+20*LOG10('Link Budget'!Q13/(4*PI()*'Link Budget'!Q24))+10*LOG10(1+'Link Budget'!Q27^2-2*'Link Budget'!Q27*ABS(COS(2*PI()*(SQRT('Link Budget'!Q24^2+(2*B$4)^2)-'Link Budget'!Q24)/'Link Budget'!Q13)))+'Link Budget'!Q34+'Link Budget'!Q35+'Link Budget'!Q36+'Link Budget'!Q40+'Link Budget'!Q41-'Link Budget'!Q44</f>
        <v/>
      </c>
      <c r="C17" s="28">
        <f>'Link Budget'!Q20+20*LOG10('Link Budget'!Q13/(4*PI()*'Link Budget'!Q24))+10*LOG10(1+'Link Budget'!Q27^2-2*'Link Budget'!Q27*ABS(COS(2*PI()*(SQRT('Link Budget'!Q24^2+(2*C$4)^2)-'Link Budget'!Q24)/'Link Budget'!Q13)))+'Link Budget'!Q34+'Link Budget'!Q35+'Link Budget'!Q36+'Link Budget'!Q40+'Link Budget'!Q41-'Link Budget'!Q44</f>
        <v/>
      </c>
      <c r="D17" s="28">
        <f>'Link Budget'!Q20+20*LOG10('Link Budget'!Q13/(4*PI()*'Link Budget'!Q24))+10*LOG10(1+'Link Budget'!Q27^2-2*'Link Budget'!Q27*ABS(COS(2*PI()*(SQRT('Link Budget'!Q24^2+(2*D$4)^2)-'Link Budget'!Q24)/'Link Budget'!Q13)))+'Link Budget'!Q34+'Link Budget'!Q35+'Link Budget'!Q36+'Link Budget'!Q40+'Link Budget'!Q41-'Link Budget'!Q44</f>
        <v/>
      </c>
      <c r="E17" s="28">
        <f>'Link Budget'!Q20+20*LOG10('Link Budget'!Q13/(4*PI()*'Link Budget'!Q24))+10*LOG10(1+'Link Budget'!Q27^2-2*'Link Budget'!Q27*ABS(COS(2*PI()*(SQRT('Link Budget'!Q24^2+(2*E$4)^2)-'Link Budget'!Q24)/'Link Budget'!Q13)))+'Link Budget'!Q34+'Link Budget'!Q35+'Link Budget'!Q36+'Link Budget'!Q40+'Link Budget'!Q41-'Link Budget'!Q44</f>
        <v/>
      </c>
      <c r="F17" s="28">
        <f>'Link Budget'!Q20+20*LOG10('Link Budget'!Q13/(4*PI()*'Link Budget'!Q24))+10*LOG10(1+'Link Budget'!Q27^2-2*'Link Budget'!Q27*ABS(COS(2*PI()*(SQRT('Link Budget'!Q24^2+(2*F$4)^2)-'Link Budget'!Q24)/'Link Budget'!Q13)))+'Link Budget'!Q34+'Link Budget'!Q35+'Link Budget'!Q36+'Link Budget'!Q40+'Link Budget'!Q41-'Link Budget'!Q44</f>
        <v/>
      </c>
    </row>
    <row r="18">
      <c r="A18" s="27">
        <f>"S14  "&amp;'Link Budget'!R5&amp;" | "&amp;'Link Budget'!R6</f>
        <v/>
      </c>
      <c r="B18" s="28">
        <f>'Link Budget'!R20+20*LOG10('Link Budget'!R13/(4*PI()*'Link Budget'!R24))+10*LOG10(1+'Link Budget'!R27^2-2*'Link Budget'!R27*ABS(COS(2*PI()*(SQRT('Link Budget'!R24^2+(2*B$4)^2)-'Link Budget'!R24)/'Link Budget'!R13)))+'Link Budget'!R34+'Link Budget'!R35+'Link Budget'!R36+'Link Budget'!R40+'Link Budget'!R41-'Link Budget'!R44</f>
        <v/>
      </c>
      <c r="C18" s="28">
        <f>'Link Budget'!R20+20*LOG10('Link Budget'!R13/(4*PI()*'Link Budget'!R24))+10*LOG10(1+'Link Budget'!R27^2-2*'Link Budget'!R27*ABS(COS(2*PI()*(SQRT('Link Budget'!R24^2+(2*C$4)^2)-'Link Budget'!R24)/'Link Budget'!R13)))+'Link Budget'!R34+'Link Budget'!R35+'Link Budget'!R36+'Link Budget'!R40+'Link Budget'!R41-'Link Budget'!R44</f>
        <v/>
      </c>
      <c r="D18" s="28">
        <f>'Link Budget'!R20+20*LOG10('Link Budget'!R13/(4*PI()*'Link Budget'!R24))+10*LOG10(1+'Link Budget'!R27^2-2*'Link Budget'!R27*ABS(COS(2*PI()*(SQRT('Link Budget'!R24^2+(2*D$4)^2)-'Link Budget'!R24)/'Link Budget'!R13)))+'Link Budget'!R34+'Link Budget'!R35+'Link Budget'!R36+'Link Budget'!R40+'Link Budget'!R41-'Link Budget'!R44</f>
        <v/>
      </c>
      <c r="E18" s="28">
        <f>'Link Budget'!R20+20*LOG10('Link Budget'!R13/(4*PI()*'Link Budget'!R24))+10*LOG10(1+'Link Budget'!R27^2-2*'Link Budget'!R27*ABS(COS(2*PI()*(SQRT('Link Budget'!R24^2+(2*E$4)^2)-'Link Budget'!R24)/'Link Budget'!R13)))+'Link Budget'!R34+'Link Budget'!R35+'Link Budget'!R36+'Link Budget'!R40+'Link Budget'!R41-'Link Budget'!R44</f>
        <v/>
      </c>
      <c r="F18" s="28">
        <f>'Link Budget'!R20+20*LOG10('Link Budget'!R13/(4*PI()*'Link Budget'!R24))+10*LOG10(1+'Link Budget'!R27^2-2*'Link Budget'!R27*ABS(COS(2*PI()*(SQRT('Link Budget'!R24^2+(2*F$4)^2)-'Link Budget'!R24)/'Link Budget'!R13)))+'Link Budget'!R34+'Link Budget'!R35+'Link Budget'!R36+'Link Budget'!R40+'Link Budget'!R41-'Link Budget'!R44</f>
        <v/>
      </c>
    </row>
    <row r="19">
      <c r="A19" s="27">
        <f>"S15  "&amp;'Link Budget'!S5&amp;" | "&amp;'Link Budget'!S6</f>
        <v/>
      </c>
      <c r="B19" s="28">
        <f>'Link Budget'!S20+20*LOG10('Link Budget'!S13/(4*PI()*'Link Budget'!S24))+10*LOG10(1+'Link Budget'!S27^2-2*'Link Budget'!S27*ABS(COS(2*PI()*(SQRT('Link Budget'!S24^2+(2*B$4)^2)-'Link Budget'!S24)/'Link Budget'!S13)))+'Link Budget'!S34+'Link Budget'!S35+'Link Budget'!S36+'Link Budget'!S40+'Link Budget'!S41-'Link Budget'!S44</f>
        <v/>
      </c>
      <c r="C19" s="28">
        <f>'Link Budget'!S20+20*LOG10('Link Budget'!S13/(4*PI()*'Link Budget'!S24))+10*LOG10(1+'Link Budget'!S27^2-2*'Link Budget'!S27*ABS(COS(2*PI()*(SQRT('Link Budget'!S24^2+(2*C$4)^2)-'Link Budget'!S24)/'Link Budget'!S13)))+'Link Budget'!S34+'Link Budget'!S35+'Link Budget'!S36+'Link Budget'!S40+'Link Budget'!S41-'Link Budget'!S44</f>
        <v/>
      </c>
      <c r="D19" s="28">
        <f>'Link Budget'!S20+20*LOG10('Link Budget'!S13/(4*PI()*'Link Budget'!S24))+10*LOG10(1+'Link Budget'!S27^2-2*'Link Budget'!S27*ABS(COS(2*PI()*(SQRT('Link Budget'!S24^2+(2*D$4)^2)-'Link Budget'!S24)/'Link Budget'!S13)))+'Link Budget'!S34+'Link Budget'!S35+'Link Budget'!S36+'Link Budget'!S40+'Link Budget'!S41-'Link Budget'!S44</f>
        <v/>
      </c>
      <c r="E19" s="28">
        <f>'Link Budget'!S20+20*LOG10('Link Budget'!S13/(4*PI()*'Link Budget'!S24))+10*LOG10(1+'Link Budget'!S27^2-2*'Link Budget'!S27*ABS(COS(2*PI()*(SQRT('Link Budget'!S24^2+(2*E$4)^2)-'Link Budget'!S24)/'Link Budget'!S13)))+'Link Budget'!S34+'Link Budget'!S35+'Link Budget'!S36+'Link Budget'!S40+'Link Budget'!S41-'Link Budget'!S44</f>
        <v/>
      </c>
      <c r="F19" s="28">
        <f>'Link Budget'!S20+20*LOG10('Link Budget'!S13/(4*PI()*'Link Budget'!S24))+10*LOG10(1+'Link Budget'!S27^2-2*'Link Budget'!S27*ABS(COS(2*PI()*(SQRT('Link Budget'!S24^2+(2*F$4)^2)-'Link Budget'!S24)/'Link Budget'!S13)))+'Link Budget'!S34+'Link Budget'!S35+'Link Budget'!S36+'Link Budget'!S40+'Link Budget'!S41-'Link Budget'!S44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How many lines arrive in one round? (selective-repeat ARQ, block ACK)</t>
        </is>
      </c>
    </row>
    <row r="3">
      <c r="A3" t="inlineStr">
        <is>
          <t>File size</t>
        </is>
      </c>
      <c r="B3" s="29" t="n">
        <v>1000000</v>
      </c>
      <c r="C3" t="inlineStr">
        <is>
          <t>B</t>
        </is>
      </c>
      <c r="D3" s="4" t="inlineStr">
        <is>
          <t>RULE: about 1 MB</t>
        </is>
      </c>
    </row>
    <row r="4">
      <c r="A4" t="inlineStr">
        <is>
          <t>Lines in file</t>
        </is>
      </c>
      <c r="B4" s="29" t="n">
        <v>10000</v>
      </c>
      <c r="C4" t="inlineStr">
        <is>
          <t>lines</t>
        </is>
      </c>
      <c r="D4" s="4" t="inlineStr">
        <is>
          <t>RULE: about 10 000 equal-length lines</t>
        </is>
      </c>
    </row>
    <row r="5">
      <c r="A5" t="inlineStr">
        <is>
          <t>Round duration</t>
        </is>
      </c>
      <c r="B5" s="29" t="n">
        <v>120</v>
      </c>
      <c r="C5" t="inlineStr">
        <is>
          <t>s</t>
        </is>
      </c>
      <c r="D5" s="4" t="inlineStr">
        <is>
          <t>RULE: 2 minutes (SRI, MRM)</t>
        </is>
      </c>
    </row>
    <row r="6">
      <c r="A6" t="inlineStr">
        <is>
          <t>Compression ratio (planning)</t>
        </is>
      </c>
      <c r="B6" s="24" t="n">
        <v>2</v>
      </c>
      <c r="C6" t="inlineStr">
        <is>
          <t>x</t>
        </is>
      </c>
      <c r="D6" s="4" t="inlineStr">
        <is>
          <t>ASSUMPTION: measure on sample text; 1.0 = none</t>
        </is>
      </c>
    </row>
    <row r="7">
      <c r="A7" t="inlineStr">
        <is>
          <t>Usable bandwidth at 869.40-869.65 MHz</t>
        </is>
      </c>
      <c r="B7" s="29" t="n">
        <v>250</v>
      </c>
      <c r="C7" t="inlineStr">
        <is>
          <t>kHz</t>
        </is>
      </c>
      <c r="D7" s="4" t="inlineStr">
        <is>
          <t>RULE (CNAF UN-39): whole 250 kHz may be one high-speed channel</t>
        </is>
      </c>
    </row>
    <row r="9">
      <c r="A9" t="inlineStr">
        <is>
          <t>Bytes per line</t>
        </is>
      </c>
      <c r="B9" s="30">
        <f>B3/B4</f>
        <v/>
      </c>
    </row>
    <row r="10">
      <c r="A10" t="inlineStr">
        <is>
          <t>Goodput needed for the whole file, no compression</t>
        </is>
      </c>
      <c r="B10" s="30">
        <f>B3*8/B5/1000</f>
        <v/>
      </c>
      <c r="C10" t="inlineStr">
        <is>
          <t>kbps</t>
        </is>
      </c>
    </row>
    <row r="11">
      <c r="A11" t="inlineStr">
        <is>
          <t>Goodput needed for the whole file, with planning compression</t>
        </is>
      </c>
      <c r="B11" s="30">
        <f>B10/B6</f>
        <v/>
      </c>
      <c r="C11" t="inlineStr">
        <is>
          <t>kbps</t>
        </is>
      </c>
    </row>
    <row r="13" ht="45" customHeight="1">
      <c r="A13" s="31" t="inlineStr">
        <is>
          <t>Configuration</t>
        </is>
      </c>
      <c r="B13" s="31" t="inlineStr">
        <is>
          <t>Air rate (kbps)</t>
        </is>
      </c>
      <c r="C13" s="31" t="inlineStr">
        <is>
          <t>Payload (B)</t>
        </is>
      </c>
      <c r="D13" s="31" t="inlineStr">
        <is>
          <t>Frame overhead (B)</t>
        </is>
      </c>
      <c r="E13" s="31" t="inlineStr">
        <is>
          <t>Frames per ACK</t>
        </is>
      </c>
      <c r="F13" s="31" t="inlineStr">
        <is>
          <t>ACK frame (B)</t>
        </is>
      </c>
      <c r="G13" s="31" t="inlineStr">
        <is>
          <t>Turnaround (ms)</t>
        </is>
      </c>
      <c r="H13" s="31" t="inlineStr">
        <is>
          <t>System efficiency</t>
        </is>
      </c>
      <c r="I13" s="31" t="inlineStr">
        <is>
          <t>Mod. index h</t>
        </is>
      </c>
      <c r="J13" s="31" t="inlineStr">
        <is>
          <t>Frame time (ms)</t>
        </is>
      </c>
      <c r="K13" s="31" t="inlineStr">
        <is>
          <t>Cycle time (ms)</t>
        </is>
      </c>
      <c r="L13" s="31" t="inlineStr">
        <is>
          <t>Goodput (kbps)</t>
        </is>
      </c>
      <c r="M13" s="31" t="inlineStr">
        <is>
          <t>Lines, no compression</t>
        </is>
      </c>
      <c r="N13" s="31" t="inlineStr">
        <is>
          <t>Lines, planning compression</t>
        </is>
      </c>
      <c r="O13" s="31" t="inlineStr">
        <is>
          <t>Occupied BW est. (kHz)</t>
        </is>
      </c>
      <c r="P13" s="31" t="inlineStr">
        <is>
          <t>Fits 250 kHz sub-band?</t>
        </is>
      </c>
    </row>
    <row r="14">
      <c r="A14" s="32" t="inlineStr">
        <is>
          <t>868 FSK radio @38.4 kbps</t>
        </is>
      </c>
      <c r="B14" s="33" t="n">
        <v>38.4</v>
      </c>
      <c r="C14" s="33" t="n">
        <v>60</v>
      </c>
      <c r="D14" s="33" t="n">
        <v>13</v>
      </c>
      <c r="E14" s="33" t="n">
        <v>16</v>
      </c>
      <c r="F14" s="33" t="n">
        <v>20</v>
      </c>
      <c r="G14" s="33" t="n">
        <v>1</v>
      </c>
      <c r="H14" s="33" t="n">
        <v>0.85</v>
      </c>
      <c r="I14" s="33" t="n">
        <v>1</v>
      </c>
      <c r="J14" s="28">
        <f>(C14+D14)*8/B14</f>
        <v/>
      </c>
      <c r="K14" s="28">
        <f>E14*J14+F14*8/B14+2*G14</f>
        <v/>
      </c>
      <c r="L14" s="34">
        <f>E14*C14*8/K14*H14</f>
        <v/>
      </c>
      <c r="M14" s="35">
        <f>MIN($B$4,INT(L14*1000*$B$5/8/$B$9))</f>
        <v/>
      </c>
      <c r="N14" s="35">
        <f>MIN($B$4,INT(L14*1000*$B$5/8*$B$6/$B$9))</f>
        <v/>
      </c>
      <c r="O14" s="28">
        <f>B14*(1+I14)</f>
        <v/>
      </c>
      <c r="P14" s="36">
        <f>IF(O14&lt;=$B$7,"yes","NO")</f>
        <v/>
      </c>
    </row>
    <row r="15">
      <c r="A15" s="32" t="inlineStr">
        <is>
          <t>868 FSK radio @100 kbps</t>
        </is>
      </c>
      <c r="B15" s="33" t="n">
        <v>100</v>
      </c>
      <c r="C15" s="33" t="n">
        <v>60</v>
      </c>
      <c r="D15" s="33" t="n">
        <v>13</v>
      </c>
      <c r="E15" s="33" t="n">
        <v>16</v>
      </c>
      <c r="F15" s="33" t="n">
        <v>20</v>
      </c>
      <c r="G15" s="33" t="n">
        <v>1</v>
      </c>
      <c r="H15" s="33" t="n">
        <v>0.85</v>
      </c>
      <c r="I15" s="33" t="n">
        <v>1</v>
      </c>
      <c r="J15" s="28">
        <f>(C15+D15)*8/B15</f>
        <v/>
      </c>
      <c r="K15" s="28">
        <f>E15*J15+F15*8/B15+2*G15</f>
        <v/>
      </c>
      <c r="L15" s="34">
        <f>E15*C15*8/K15*H15</f>
        <v/>
      </c>
      <c r="M15" s="35">
        <f>MIN($B$4,INT(L15*1000*$B$5/8/$B$9))</f>
        <v/>
      </c>
      <c r="N15" s="35">
        <f>MIN($B$4,INT(L15*1000*$B$5/8*$B$6/$B$9))</f>
        <v/>
      </c>
      <c r="O15" s="28">
        <f>B15*(1+I15)</f>
        <v/>
      </c>
      <c r="P15" s="36">
        <f>IF(O15&lt;=$B$7,"yes","NO")</f>
        <v/>
      </c>
    </row>
    <row r="16">
      <c r="A16" s="32" t="inlineStr">
        <is>
          <t>868 GFSK radio @150 kbps, h=0.5</t>
        </is>
      </c>
      <c r="B16" s="33" t="n">
        <v>150</v>
      </c>
      <c r="C16" s="33" t="n">
        <v>60</v>
      </c>
      <c r="D16" s="33" t="n">
        <v>13</v>
      </c>
      <c r="E16" s="33" t="n">
        <v>16</v>
      </c>
      <c r="F16" s="33" t="n">
        <v>20</v>
      </c>
      <c r="G16" s="33" t="n">
        <v>1</v>
      </c>
      <c r="H16" s="33" t="n">
        <v>0.85</v>
      </c>
      <c r="I16" s="33" t="n">
        <v>0.5</v>
      </c>
      <c r="J16" s="28">
        <f>(C16+D16)*8/B16</f>
        <v/>
      </c>
      <c r="K16" s="28">
        <f>E16*J16+F16*8/B16+2*G16</f>
        <v/>
      </c>
      <c r="L16" s="34">
        <f>E16*C16*8/K16*H16</f>
        <v/>
      </c>
      <c r="M16" s="35">
        <f>MIN($B$4,INT(L16*1000*$B$5/8/$B$9))</f>
        <v/>
      </c>
      <c r="N16" s="35">
        <f>MIN($B$4,INT(L16*1000*$B$5/8*$B$6/$B$9))</f>
        <v/>
      </c>
      <c r="O16" s="28">
        <f>B16*(1+I16)</f>
        <v/>
      </c>
      <c r="P16" s="36">
        <f>IF(O16&lt;=$B$7,"yes","NO")</f>
        <v/>
      </c>
    </row>
    <row r="17">
      <c r="A17" s="32" t="inlineStr">
        <is>
          <t>868 MRM shared: 5 ch x 50 kHz @19.2 kbps</t>
        </is>
      </c>
      <c r="B17" s="33" t="n">
        <v>19.2</v>
      </c>
      <c r="C17" s="33" t="n">
        <v>60</v>
      </c>
      <c r="D17" s="33" t="n">
        <v>13</v>
      </c>
      <c r="E17" s="33" t="n">
        <v>16</v>
      </c>
      <c r="F17" s="33" t="n">
        <v>20</v>
      </c>
      <c r="G17" s="33" t="n">
        <v>1</v>
      </c>
      <c r="H17" s="33" t="n">
        <v>0.85</v>
      </c>
      <c r="I17" s="33" t="n">
        <v>1</v>
      </c>
      <c r="J17" s="28">
        <f>(C17+D17)*8/B17</f>
        <v/>
      </c>
      <c r="K17" s="28">
        <f>E17*J17+F17*8/B17+2*G17</f>
        <v/>
      </c>
      <c r="L17" s="34">
        <f>E17*C17*8/K17*H17</f>
        <v/>
      </c>
      <c r="M17" s="35">
        <f>MIN($B$4,INT(L17*1000*$B$5/8/$B$9))</f>
        <v/>
      </c>
      <c r="N17" s="35">
        <f>MIN($B$4,INT(L17*1000*$B$5/8*$B$6/$B$9))</f>
        <v/>
      </c>
      <c r="O17" s="28">
        <f>B17*(1+I17)</f>
        <v/>
      </c>
      <c r="P17" s="36">
        <f>IF(O17&lt;=$B$7,"yes","NO")</f>
        <v/>
      </c>
    </row>
    <row r="18">
      <c r="A18" s="32" t="inlineStr">
        <is>
          <t>nRF24 2.4 GHz @250 kbps</t>
        </is>
      </c>
      <c r="B18" s="33" t="n">
        <v>250</v>
      </c>
      <c r="C18" s="33" t="n">
        <v>32</v>
      </c>
      <c r="D18" s="33" t="n">
        <v>9.125</v>
      </c>
      <c r="E18" s="33" t="n">
        <v>16</v>
      </c>
      <c r="F18" s="33" t="n">
        <v>12</v>
      </c>
      <c r="G18" s="33" t="n">
        <v>0.25</v>
      </c>
      <c r="H18" s="33" t="n">
        <v>0.85</v>
      </c>
      <c r="I18" s="32" t="n"/>
      <c r="J18" s="28">
        <f>(C18+D18)*8/B18</f>
        <v/>
      </c>
      <c r="K18" s="28">
        <f>E18*J18+F18*8/B18+2*G18</f>
        <v/>
      </c>
      <c r="L18" s="34">
        <f>E18*C18*8/K18*H18</f>
        <v/>
      </c>
      <c r="M18" s="35">
        <f>MIN($B$4,INT(L18*1000*$B$5/8/$B$9))</f>
        <v/>
      </c>
      <c r="N18" s="35">
        <f>MIN($B$4,INT(L18*1000*$B$5/8*$B$6/$B$9))</f>
        <v/>
      </c>
      <c r="O18" s="28" t="inlineStr">
        <is>
          <t>~1000-2000 (2.4 GHz, n/a)</t>
        </is>
      </c>
      <c r="P18" s="36" t="inlineStr">
        <is>
          <t>n/a</t>
        </is>
      </c>
    </row>
    <row r="19">
      <c r="A19" s="32" t="inlineStr">
        <is>
          <t>nRF24 2.4 GHz @1 Mbps</t>
        </is>
      </c>
      <c r="B19" s="33" t="n">
        <v>1000</v>
      </c>
      <c r="C19" s="33" t="n">
        <v>32</v>
      </c>
      <c r="D19" s="33" t="n">
        <v>9.125</v>
      </c>
      <c r="E19" s="33" t="n">
        <v>16</v>
      </c>
      <c r="F19" s="33" t="n">
        <v>12</v>
      </c>
      <c r="G19" s="33" t="n">
        <v>0.25</v>
      </c>
      <c r="H19" s="33" t="n">
        <v>0.85</v>
      </c>
      <c r="I19" s="32" t="n"/>
      <c r="J19" s="28">
        <f>(C19+D19)*8/B19</f>
        <v/>
      </c>
      <c r="K19" s="28">
        <f>E19*J19+F19*8/B19+2*G19</f>
        <v/>
      </c>
      <c r="L19" s="34">
        <f>E19*C19*8/K19*H19</f>
        <v/>
      </c>
      <c r="M19" s="35">
        <f>MIN($B$4,INT(L19*1000*$B$5/8/$B$9))</f>
        <v/>
      </c>
      <c r="N19" s="35">
        <f>MIN($B$4,INT(L19*1000*$B$5/8*$B$6/$B$9))</f>
        <v/>
      </c>
      <c r="O19" s="28" t="inlineStr">
        <is>
          <t>~1000-2000 (2.4 GHz, n/a)</t>
        </is>
      </c>
      <c r="P19" s="36" t="inlineStr">
        <is>
          <t>n/a</t>
        </is>
      </c>
    </row>
    <row r="20">
      <c r="A20" s="32" t="inlineStr">
        <is>
          <t>nRF24 2.4 GHz @2 Mbps</t>
        </is>
      </c>
      <c r="B20" s="33" t="n">
        <v>2000</v>
      </c>
      <c r="C20" s="33" t="n">
        <v>32</v>
      </c>
      <c r="D20" s="33" t="n">
        <v>9.125</v>
      </c>
      <c r="E20" s="33" t="n">
        <v>16</v>
      </c>
      <c r="F20" s="33" t="n">
        <v>12</v>
      </c>
      <c r="G20" s="33" t="n">
        <v>0.25</v>
      </c>
      <c r="H20" s="33" t="n">
        <v>0.85</v>
      </c>
      <c r="I20" s="32" t="n"/>
      <c r="J20" s="28">
        <f>(C20+D20)*8/B20</f>
        <v/>
      </c>
      <c r="K20" s="28">
        <f>E20*J20+F20*8/B20+2*G20</f>
        <v/>
      </c>
      <c r="L20" s="34">
        <f>E20*C20*8/K20*H20</f>
        <v/>
      </c>
      <c r="M20" s="35">
        <f>MIN($B$4,INT(L20*1000*$B$5/8/$B$9))</f>
        <v/>
      </c>
      <c r="N20" s="35">
        <f>MIN($B$4,INT(L20*1000*$B$5/8*$B$6/$B$9))</f>
        <v/>
      </c>
      <c r="O20" s="28" t="inlineStr">
        <is>
          <t>~1000-2000 (2.4 GHz, n/a)</t>
        </is>
      </c>
      <c r="P20" s="36" t="inlineStr">
        <is>
          <t>n/a</t>
        </is>
      </c>
    </row>
    <row r="22">
      <c r="A22" s="37" t="inlineStr">
        <is>
          <t>Notes: overhead = preamble + sync + length + 4 B header + CRC-16 (sub-GHz) or nRF24 Enhanced ShockBurst fields (1 B preamble, 5 B address, 9-bit PCF, 2 B CRC). Turnaround = radio TX/RX switch + MCU handling [ASSUMPTION]. System efficiency covers SPI/FIFO service and USB writes [ASSUMPTION]. Occupied bandwidth uses Carson's rule 2Δf + Rb with Δf = h·Rb/2 (an estimate; verify on the spectrum analyser, test T13). The MRM-shared row shows what 868 MHz gives if all teams split 869.4-869.65 MHz.</t>
        </is>
      </c>
    </row>
    <row r="23"/>
    <row r="24"/>
  </sheetData>
  <mergeCells count="1">
    <mergeCell ref="A22:P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6" customWidth="1" min="4" max="4"/>
    <col width="12" customWidth="1" min="5" max="5"/>
    <col width="34" customWidth="1" min="6" max="6"/>
    <col width="14" customWidth="1" min="7" max="7"/>
    <col width="40" customWidth="1" min="8" max="8"/>
    <col width="34" customWidth="1" min="9" max="9"/>
    <col width="24" customWidth="1" min="10" max="10"/>
    <col width="16" customWidth="1" min="11" max="11"/>
    <col width="40" customWidth="1" min="12" max="12"/>
  </cols>
  <sheetData>
    <row r="1">
      <c r="A1" s="1" t="inlineStr">
        <is>
          <t>Radio module shortlist - datasheet values (verified 2026-10-03) and compliance notes</t>
        </is>
      </c>
    </row>
    <row r="3">
      <c r="A3" s="31" t="inlineStr">
        <is>
          <t>Module / chip</t>
        </is>
      </c>
      <c r="B3" s="31" t="inlineStr">
        <is>
          <t>Band(s)</t>
        </is>
      </c>
      <c r="C3" s="31" t="inlineStr">
        <is>
          <t>Max TX power</t>
        </is>
      </c>
      <c r="D3" s="31" t="inlineStr">
        <is>
          <t>TX current @max</t>
        </is>
      </c>
      <c r="E3" s="31" t="inlineStr">
        <is>
          <t>RX current</t>
        </is>
      </c>
      <c r="F3" s="31" t="inlineStr">
        <is>
          <t>Sensitivity (datasheet)</t>
        </is>
      </c>
      <c r="G3" s="31" t="inlineStr">
        <is>
          <t>Max data rate</t>
        </is>
      </c>
      <c r="H3" s="31" t="inlineStr">
        <is>
          <t>Limits / gotchas</t>
        </is>
      </c>
      <c r="I3" s="31" t="inlineStr">
        <is>
          <t>Rule compliance (standard-protocol ban)</t>
        </is>
      </c>
      <c r="J3" s="31" t="inlineStr">
        <is>
          <t>Fits our use</t>
        </is>
      </c>
      <c r="K3" s="31" t="inlineStr">
        <is>
          <t>Unit price</t>
        </is>
      </c>
      <c r="L3" s="31" t="inlineStr">
        <is>
          <t>Source</t>
        </is>
      </c>
    </row>
    <row r="4" ht="95" customHeight="1">
      <c r="A4" s="38" t="inlineStr">
        <is>
          <t>HopeRF RFM69HCW (Semtech SX1231H), 868 MHz variant</t>
        </is>
      </c>
      <c r="B4" s="38" t="inlineStr">
        <is>
          <t>433 / 868 / 915 MHz variants</t>
        </is>
      </c>
      <c r="C4" s="38" t="inlineStr">
        <is>
          <t>+20 dBm (PA_BOOST); +17 dBm without high-power mode</t>
        </is>
      </c>
      <c r="D4" s="38" t="inlineStr">
        <is>
          <t>130 mA @+20; 95 mA @+17</t>
        </is>
      </c>
      <c r="E4" s="38" t="inlineStr">
        <is>
          <t>16 mA</t>
        </is>
      </c>
      <c r="F4" s="38" t="inlineStr">
        <is>
          <t>-118 dBm @1.2 kbps; -114 @4.8 kbps; -105 @38.4 kbps (FDA 40 kHz). No figure above 38.4 kbps.</t>
        </is>
      </c>
      <c r="G4" s="38" t="inlineStr">
        <is>
          <t>300 kbps FSK</t>
        </is>
      </c>
      <c r="H4" s="38" t="inlineStr">
        <is>
          <t>+20 dBm limited to 1 % duty cycle (datasheet §3.3.7) -&gt; use +17 dBm for 2-min rounds. 66 B FIFO. No SAW filter.</t>
        </is>
      </c>
      <c r="I4" s="38" t="inlineStr">
        <is>
          <t>Proprietary FSK packet radio - LOW risk; confirm on Atenea</t>
        </is>
      </c>
      <c r="J4" s="38" t="inlineStr">
        <is>
          <t>SRI/NM/MRM at 868; huge libraries (RadioHead, LowPowerLab)</t>
        </is>
      </c>
      <c r="K4" s="38" t="inlineStr">
        <is>
          <t>TO VERIFY (ET to quote Mouser/DigiKey/LCSC)</t>
        </is>
      </c>
      <c r="L4" s="38" t="inlineStr">
        <is>
          <t>HopeRF RFM69HCW datasheet v1.1, Tables 2/4/6 and §3.3.7 - https://cdn-shop.adafruit.com/product-files/3076/RFM69HCW-V1.1.pdf</t>
        </is>
      </c>
    </row>
    <row r="5" ht="95" customHeight="1">
      <c r="A5" s="38" t="inlineStr">
        <is>
          <t>Si4463 modules (e.g. HopeRF RFM26W, NiceRF/Ebyte boards)</t>
        </is>
      </c>
      <c r="B5" s="38" t="inlineStr">
        <is>
          <t>142-1050 MHz</t>
        </is>
      </c>
      <c r="C5" s="38" t="inlineStr">
        <is>
          <t>+20 dBm</t>
        </is>
      </c>
      <c r="D5" s="38" t="inlineStr">
        <is>
          <t>85 mA @+20 dBm, 868 MHz</t>
        </is>
      </c>
      <c r="E5" s="38" t="inlineStr">
        <is>
          <t>~10-14 mA (datasheet)</t>
        </is>
      </c>
      <c r="F5" s="38" t="inlineStr">
        <is>
          <t>868/915: -109 dBm @40 kbps; -104 @100 kbps; -97 @500 kbps (GFSK, BER 0.1 %); -88 @1 Mbps 4GFSK</t>
        </is>
      </c>
      <c r="G5" s="38" t="inlineStr">
        <is>
          <t>500 kbps (G)FSK; 1 Mbps 4GFSK</t>
        </is>
      </c>
      <c r="H5" s="38" t="inlineStr">
        <is>
          <t>Best sensitivity + power of the group; no duty-cycle note found. Config via WDS-generated register sets (steeper learning curve).</t>
        </is>
      </c>
      <c r="I5" s="38" t="inlineStr">
        <is>
          <t>Proprietary radio, but the datasheet advertises IEEE 802.15.4g PHY support -&gt; LOW-MEDIUM risk; ask Atenea</t>
        </is>
      </c>
      <c r="J5" s="38" t="inlineStr">
        <is>
          <t>Strongest 868 option for MRM margin</t>
        </is>
      </c>
      <c r="K5" s="38" t="inlineStr">
        <is>
          <t>TO VERIFY</t>
        </is>
      </c>
      <c r="L5" s="38" t="inlineStr">
        <is>
          <t>Silicon Labs Si4463/61/60-C datasheet Rev 1.0, Table 3 (RX 915/868 MHz) - https://datasheet.octopart.com/SI4463-C2A-GM-Silicon-Labs-datasheet-78834891.pdf</t>
        </is>
      </c>
    </row>
    <row r="6" ht="95" customHeight="1">
      <c r="A6" s="38" t="inlineStr">
        <is>
          <t>TI CC1101 modules (e.g. Ebyte E07-M1101D)</t>
        </is>
      </c>
      <c r="B6" s="38" t="inlineStr">
        <is>
          <t>300-348 / 387-464 / 779-928 MHz</t>
        </is>
      </c>
      <c r="C6" s="38" t="inlineStr">
        <is>
          <t>+12 dBm @868</t>
        </is>
      </c>
      <c r="D6" s="38" t="inlineStr">
        <is>
          <t>34 mA @+12 dBm</t>
        </is>
      </c>
      <c r="E6" s="38" t="inlineStr">
        <is>
          <t>~15-17 mA</t>
        </is>
      </c>
      <c r="F6" s="38" t="inlineStr">
        <is>
          <t>868: -112 dBm @1.2 kBaud; -104 @38.4; -95 @250 (540 kHz filter); -90 @500 kBaud MSK</t>
        </is>
      </c>
      <c r="G6" s="38" t="inlineStr">
        <is>
          <t>500 kBaud (600 kbps 4-FSK)</t>
        </is>
      </c>
      <c r="H6" s="38" t="inlineStr">
        <is>
          <t>Lowest power of the 868 options. 250 kBaud setting needs 540 kHz filter -&gt; does NOT fit the 250 kHz sub-band; practical ceiling ~100 kbps there.</t>
        </is>
      </c>
      <c r="I6" s="38" t="inlineStr">
        <is>
          <t>Proprietary - LOW risk</t>
        </is>
      </c>
      <c r="J6" s="38" t="inlineStr">
        <is>
          <t>Fine for SRI; thinner MRM margin</t>
        </is>
      </c>
      <c r="K6" s="38" t="inlineStr">
        <is>
          <t>TO VERIFY</t>
        </is>
      </c>
      <c r="L6" s="38" t="inlineStr">
        <is>
          <t>TI CC1101 datasheet SWRS061I, Tables 4/7 (868/915 MHz) - https://www.ti.com/lit/ds/symlink/cc1101.pdf</t>
        </is>
      </c>
    </row>
    <row r="7" ht="95" customHeight="1">
      <c r="A7" s="38" t="inlineStr">
        <is>
          <t>Nordic nRF24L01+ (and PA/LNA variants)</t>
        </is>
      </c>
      <c r="B7" s="38" t="inlineStr">
        <is>
          <t>2.400-2.525 GHz</t>
        </is>
      </c>
      <c r="C7" s="38" t="inlineStr">
        <is>
          <t>0 dBm (PA/LNA modules: more, but must be backed off to &lt;=10 dBm e.i.r.p.)</t>
        </is>
      </c>
      <c r="D7" s="38" t="inlineStr">
        <is>
          <t>11.3 mA @0 dBm</t>
        </is>
      </c>
      <c r="E7" s="38" t="inlineStr">
        <is>
          <t>~12-14 mA</t>
        </is>
      </c>
      <c r="F7" s="38" t="inlineStr">
        <is>
          <t>-82 dBm @2 Mbps; -85 @1 Mbps; -94 @250 kbps (BER 0.1 %)</t>
        </is>
      </c>
      <c r="G7" s="38" t="inlineStr">
        <is>
          <t>2 Mbps</t>
        </is>
      </c>
      <c r="H7" s="38" t="inlineStr">
        <is>
          <t>32 B max payload; auto-ACK/retransmit in hardware (Enhanced ShockBurst). Many clones on the market - buy from a distributor.</t>
        </is>
      </c>
      <c r="I7" s="38" t="inlineStr">
        <is>
          <t>Enhanced ShockBurst is Nordic-proprietary - LOW-MEDIUM risk; confirm on Atenea</t>
        </is>
      </c>
      <c r="J7" s="38" t="inlineStr">
        <is>
          <t>Speed for SRI; weak margin at 260 m</t>
        </is>
      </c>
      <c r="K7" s="38" t="inlineStr">
        <is>
          <t>TO VERIFY</t>
        </is>
      </c>
      <c r="L7" s="38" t="inlineStr">
        <is>
          <t>Nordic nRF24L01+ Product Specification v1.0, Tables 7 and 17 - https://www.sparkfun.com/datasheets/Components/SMD/nRF24L01Pluss_Preliminary_Product_Specification_v1_0.pdf</t>
        </is>
      </c>
    </row>
    <row r="8" ht="95" customHeight="1">
      <c r="A8" s="38" t="inlineStr">
        <is>
          <t>TI CC2500</t>
        </is>
      </c>
      <c r="B8" s="38" t="inlineStr">
        <is>
          <t>2.400-2.4835 GHz</t>
        </is>
      </c>
      <c r="C8" s="38" t="inlineStr">
        <is>
          <t>+1 dBm</t>
        </is>
      </c>
      <c r="D8" s="38" t="inlineStr">
        <is>
          <t>21.5 mA @+1 dBm</t>
        </is>
      </c>
      <c r="E8" s="38" t="inlineStr">
        <is>
          <t>~13-17 mA</t>
        </is>
      </c>
      <c r="F8" s="38" t="inlineStr">
        <is>
          <t>-104 dBm @2.4 kBaud; -99 @10 kBaud; -89 @250 kBaud; -83 @500 kBaud</t>
        </is>
      </c>
      <c r="G8" s="38" t="inlineStr">
        <is>
          <t>500 kBaud</t>
        </is>
      </c>
      <c r="H8" s="38" t="inlineStr">
        <is>
          <t>Similar class to nRF24 with more modulation control.</t>
        </is>
      </c>
      <c r="I8" s="38" t="inlineStr">
        <is>
          <t>Proprietary - LOW risk</t>
        </is>
      </c>
      <c r="J8" s="38" t="inlineStr">
        <is>
          <t>Alternative 2.4 GHz option</t>
        </is>
      </c>
      <c r="K8" s="38" t="inlineStr">
        <is>
          <t>TO VERIFY</t>
        </is>
      </c>
      <c r="L8" s="38" t="inlineStr">
        <is>
          <t>TI CC2500 datasheet, RF receive section - https://www.ti.com/lit/ds/symlink/cc2500.pdf</t>
        </is>
      </c>
    </row>
    <row r="9" ht="95" customHeight="1">
      <c r="A9" s="38" t="inlineStr">
        <is>
          <t>EXCLUDE: LoRa chips (SX127x/RFM95, SX126x, SX1280, LLCC68)</t>
        </is>
      </c>
      <c r="B9" s="38" t="inlineStr">
        <is>
          <t>433/868/2.4 GHz</t>
        </is>
      </c>
      <c r="C9" s="38" t="inlineStr"/>
      <c r="D9" s="38" t="inlineStr"/>
      <c r="E9" s="38" t="inlineStr"/>
      <c r="F9" s="38" t="inlineStr"/>
      <c r="G9" s="38" t="inlineStr"/>
      <c r="H9" s="38" t="inlineStr"/>
      <c r="I9" s="38" t="inlineStr">
        <is>
          <t>LoRa is named as banned on the Session 1 spec slide; even FSK-only use of a LoRa chip is a compliance risk</t>
        </is>
      </c>
      <c r="J9" s="38" t="inlineStr">
        <is>
          <t>Do not buy</t>
        </is>
      </c>
      <c r="K9" s="38" t="inlineStr"/>
      <c r="L9" s="38" t="inlineStr">
        <is>
          <t>Session #1 slide 'Transceiver Specs (I)'</t>
        </is>
      </c>
    </row>
    <row r="10" ht="95" customHeight="1">
      <c r="A10" s="38" t="inlineStr">
        <is>
          <t>EXCLUDE: radio SoCs (CC1310/CC1312, nRF52, ESP32, STM32WL...)</t>
        </is>
      </c>
      <c r="B10" s="38" t="inlineStr"/>
      <c r="C10" s="38" t="inlineStr"/>
      <c r="D10" s="38" t="inlineStr"/>
      <c r="E10" s="38" t="inlineStr"/>
      <c r="F10" s="38" t="inlineStr"/>
      <c r="G10" s="38" t="inlineStr"/>
      <c r="H10" s="38" t="inlineStr"/>
      <c r="I10" s="38" t="inlineStr">
        <is>
          <t>Contain a microprocessor (second micro module) and/or BLE/ZigBee/LoRa stacks</t>
        </is>
      </c>
      <c r="J10" s="38" t="inlineStr">
        <is>
          <t>Do not buy</t>
        </is>
      </c>
      <c r="K10" s="38" t="inlineStr"/>
      <c r="L10" s="38" t="inlineStr">
        <is>
          <t>Rules PDF: 'one but only one module including a microprocessor'; standard-protocol ban</t>
        </is>
      </c>
    </row>
    <row r="11" ht="95" customHeight="1">
      <c r="A11" s="38" t="inlineStr">
        <is>
          <t>EXCLUDE: 915 MHz (US) module variants</t>
        </is>
      </c>
      <c r="B11" s="38" t="inlineStr">
        <is>
          <t>902-928 MHz</t>
        </is>
      </c>
      <c r="C11" s="38" t="inlineStr"/>
      <c r="D11" s="38" t="inlineStr"/>
      <c r="E11" s="38" t="inlineStr"/>
      <c r="F11" s="38" t="inlineStr"/>
      <c r="G11" s="38" t="inlineStr"/>
      <c r="H11" s="38" t="inlineStr"/>
      <c r="I11" s="38" t="inlineStr">
        <is>
          <t>915-921 MHz is mobile/GSM-R spectrum in Spain (CNAF UN-40), not SRD</t>
        </is>
      </c>
      <c r="J11" s="38" t="inlineStr">
        <is>
          <t>Buy 868 variants only</t>
        </is>
      </c>
      <c r="K11" s="38" t="inlineStr"/>
      <c r="L11" s="38" t="inlineStr">
        <is>
          <t>CNAF 2017 (Orden ETU/1033/2017), notas UN - https://www.boe.es/buscar/doc.php?id=BOE-A-2017-12318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30" customWidth="1" min="4" max="4"/>
    <col width="22" customWidth="1" min="5" max="5"/>
    <col width="10" customWidth="1" min="6" max="6"/>
    <col width="60" customWidth="1" min="7" max="7"/>
  </cols>
  <sheetData>
    <row r="1">
      <c r="A1" s="1" t="inlineStr">
        <is>
          <t>Usable unlicensed bands for a 2-minute continuous round (CNAF 2017 notas UN, as the rules require)</t>
        </is>
      </c>
    </row>
    <row r="2">
      <c r="A2" s="4" t="inlineStr">
        <is>
          <t>Text checked on 2026-10-03 against the BOE publication of CNAF 2017 and the current CNAF 2021; the limits below are identical in both. Duty cycle is assessed over a 1-hour window (ERC/REC 70-03).</t>
        </is>
      </c>
    </row>
    <row r="4">
      <c r="A4" s="31" t="inlineStr">
        <is>
          <t>Band</t>
        </is>
      </c>
      <c r="B4" s="31" t="inlineStr">
        <is>
          <t>CNAF note</t>
        </is>
      </c>
      <c r="C4" s="31" t="inlineStr">
        <is>
          <t>Max power</t>
        </is>
      </c>
      <c r="D4" s="31" t="inlineStr">
        <is>
          <t>Access condition</t>
        </is>
      </c>
      <c r="E4" s="31" t="inlineStr">
        <is>
          <t>2-min continuous TX OK?</t>
        </is>
      </c>
      <c r="F4" s="31" t="inlineStr">
        <is>
          <t>Width</t>
        </is>
      </c>
      <c r="G4" s="31" t="inlineStr">
        <is>
          <t>Comment</t>
        </is>
      </c>
    </row>
    <row r="5" ht="48" customHeight="1">
      <c r="A5" s="39" t="inlineStr">
        <is>
          <t>433.050-434.790 MHz</t>
        </is>
      </c>
      <c r="B5" s="39" t="inlineStr">
        <is>
          <t>UN-30</t>
        </is>
      </c>
      <c r="C5" s="39" t="inlineStr">
        <is>
          <t>1 mW e.r.p. (-13 dBm/10 kHz)</t>
        </is>
      </c>
      <c r="D5" s="39" t="inlineStr">
        <is>
          <t>none</t>
        </is>
      </c>
      <c r="E5" s="39" t="inlineStr">
        <is>
          <t>Yes, but 1 mW</t>
        </is>
      </c>
      <c r="F5" s="39" t="inlineStr">
        <is>
          <t>1.74 MHz</t>
        </is>
      </c>
      <c r="G5" s="39" t="inlineStr">
        <is>
          <t>Too weak.</t>
        </is>
      </c>
    </row>
    <row r="6" ht="48" customHeight="1">
      <c r="A6" s="39" t="inlineStr">
        <is>
          <t>433.050-434.040 MHz</t>
        </is>
      </c>
      <c r="B6" s="39" t="inlineStr">
        <is>
          <t>UN-30</t>
        </is>
      </c>
      <c r="C6" s="39" t="inlineStr">
        <is>
          <t>10 mW e.r.p.</t>
        </is>
      </c>
      <c r="D6" s="39" t="inlineStr">
        <is>
          <t>duty cycle &lt;= 10 %</t>
        </is>
      </c>
      <c r="E6" s="39" t="inlineStr">
        <is>
          <t>Yes (120 s &lt; 360 s/h)</t>
        </is>
      </c>
      <c r="F6" s="39" t="inlineStr">
        <is>
          <t>0.99 MHz</t>
        </is>
      </c>
      <c r="G6" s="39" t="inlineStr">
        <is>
          <t>λ/4 = 17 cm: does not fit the 15x15x7 cm box without heavy shortening.</t>
        </is>
      </c>
    </row>
    <row r="7" ht="48" customHeight="1">
      <c r="A7" s="39" t="inlineStr">
        <is>
          <t>868.000-868.600 MHz</t>
        </is>
      </c>
      <c r="B7" s="39" t="inlineStr">
        <is>
          <t>UN-39</t>
        </is>
      </c>
      <c r="C7" s="39" t="inlineStr">
        <is>
          <t>25 mW e.r.p.</t>
        </is>
      </c>
      <c r="D7" s="39" t="inlineStr">
        <is>
          <t>LBT+AFA (EN 300 220) or duty cycle &lt;= 1 %</t>
        </is>
      </c>
      <c r="E7" s="39" t="inlineStr">
        <is>
          <t>No (1 % = 36 s/h)</t>
        </is>
      </c>
      <c r="F7" s="39" t="inlineStr">
        <is>
          <t>600 kHz</t>
        </is>
      </c>
      <c r="G7" s="39" t="inlineStr"/>
    </row>
    <row r="8" ht="48" customHeight="1">
      <c r="A8" s="39" t="inlineStr">
        <is>
          <t>868.700-869.200 MHz</t>
        </is>
      </c>
      <c r="B8" s="39" t="inlineStr">
        <is>
          <t>UN-39</t>
        </is>
      </c>
      <c r="C8" s="39" t="inlineStr">
        <is>
          <t>25 mW e.r.p.</t>
        </is>
      </c>
      <c r="D8" s="39" t="inlineStr">
        <is>
          <t>LBT+AFA or duty cycle &lt;= 0.1 %</t>
        </is>
      </c>
      <c r="E8" s="39" t="inlineStr">
        <is>
          <t>No</t>
        </is>
      </c>
      <c r="F8" s="39" t="inlineStr">
        <is>
          <t>500 kHz</t>
        </is>
      </c>
      <c r="G8" s="39" t="inlineStr"/>
    </row>
    <row r="9" ht="48" customHeight="1">
      <c r="A9" s="40" t="inlineStr">
        <is>
          <t>869.400-869.650 MHz</t>
        </is>
      </c>
      <c r="B9" s="40" t="inlineStr">
        <is>
          <t>UN-39</t>
        </is>
      </c>
      <c r="C9" s="40" t="inlineStr">
        <is>
          <t>500 mW e.r.p.</t>
        </is>
      </c>
      <c r="D9" s="40" t="inlineStr">
        <is>
          <t>LBT+AFA or duty cycle &lt;= 10 %</t>
        </is>
      </c>
      <c r="E9" s="40" t="inlineStr">
        <is>
          <t>YES (120 s &lt; 360 s/h)</t>
        </is>
      </c>
      <c r="F9" s="40" t="inlineStr">
        <is>
          <t>250 kHz</t>
        </is>
      </c>
      <c r="G9" s="40" t="inlineStr">
        <is>
          <t>THE 868 option. 25 kHz channelisation, but the whole band may be one high-speed data channel. One 120 s SRI + one 120 s MRM = 240 s/h for the TX device: compliant.</t>
        </is>
      </c>
    </row>
    <row r="10" ht="48" customHeight="1">
      <c r="A10" s="39" t="inlineStr">
        <is>
          <t>869.700-870.000 MHz</t>
        </is>
      </c>
      <c r="B10" s="39" t="inlineStr">
        <is>
          <t>UN-39</t>
        </is>
      </c>
      <c r="C10" s="39" t="inlineStr">
        <is>
          <t>5 mW e.r.p. (no DC) / 25 mW (DC &lt;= 1 %)</t>
        </is>
      </c>
      <c r="D10" s="39" t="inlineStr"/>
      <c r="E10" s="39" t="inlineStr">
        <is>
          <t>5 mW only</t>
        </is>
      </c>
      <c r="F10" s="39" t="inlineStr">
        <is>
          <t>300 kHz</t>
        </is>
      </c>
      <c r="G10" s="39" t="inlineStr">
        <is>
          <t>Low power.</t>
        </is>
      </c>
    </row>
    <row r="11" ht="48" customHeight="1">
      <c r="A11" s="40" t="inlineStr">
        <is>
          <t>2400-2483.5 MHz</t>
        </is>
      </c>
      <c r="B11" s="40" t="inlineStr">
        <is>
          <t>UN-85 b)</t>
        </is>
      </c>
      <c r="C11" s="40" t="inlineStr">
        <is>
          <t>10 mW e.i.r.p.</t>
        </is>
      </c>
      <c r="D11" s="40" t="inlineStr">
        <is>
          <t>none (generic SRD, EN 300 440)</t>
        </is>
      </c>
      <c r="E11" s="40" t="inlineStr">
        <is>
          <t>YES</t>
        </is>
      </c>
      <c r="F11" s="40" t="inlineStr">
        <is>
          <t>83.5 MHz</t>
        </is>
      </c>
      <c r="G11" s="40" t="inlineStr">
        <is>
          <t>Room for every team on its own channel (MRM). Campus WiFi/BT share the band.</t>
        </is>
      </c>
    </row>
    <row r="12" ht="48" customHeight="1">
      <c r="A12" s="39" t="inlineStr">
        <is>
          <t>2400-2483.5 MHz</t>
        </is>
      </c>
      <c r="B12" s="39" t="inlineStr">
        <is>
          <t>UN-85 a)</t>
        </is>
      </c>
      <c r="C12" s="39" t="inlineStr">
        <is>
          <t>100 mW e.i.r.p.; 100 mW/100 kHz FHSS, 10 mW/MHz other</t>
        </is>
      </c>
      <c r="D12" s="39" t="inlineStr">
        <is>
          <t>mitigation techniques (EN 300 328) mandatory</t>
        </is>
      </c>
      <c r="E12" s="39" t="inlineStr">
        <is>
          <t>Yes, if mitigation implemented</t>
        </is>
      </c>
      <c r="F12" s="39" t="inlineStr">
        <is>
          <t>83.5 MHz</t>
        </is>
      </c>
      <c r="G12" s="39" t="inlineStr">
        <is>
          <t>Wideband data/RLAN class. Whether a student FHSS/LBT design qualifies is a question for Atenea.</t>
        </is>
      </c>
    </row>
    <row r="13" ht="48" customHeight="1">
      <c r="A13" s="39" t="inlineStr">
        <is>
          <t>5725-5875 MHz</t>
        </is>
      </c>
      <c r="B13" s="39" t="inlineStr">
        <is>
          <t>UN-130</t>
        </is>
      </c>
      <c r="C13" s="39" t="inlineStr">
        <is>
          <t>25 mW e.i.r.p.</t>
        </is>
      </c>
      <c r="D13" s="39" t="inlineStr">
        <is>
          <t>none (generic SRD, EN 300 440)</t>
        </is>
      </c>
      <c r="E13" s="39" t="inlineStr">
        <is>
          <t>Yes</t>
        </is>
      </c>
      <c r="F13" s="39" t="inlineStr">
        <is>
          <t>150 MHz</t>
        </is>
      </c>
      <c r="G13" s="39" t="inlineStr">
        <is>
          <t>Few cheap non-WiFi modules; higher path loss and container loss. Not shortlisted.</t>
        </is>
      </c>
    </row>
    <row r="15">
      <c r="A15" s="3" t="inlineStr">
        <is>
          <t>Sources</t>
        </is>
      </c>
    </row>
    <row r="16">
      <c r="A16" t="inlineStr">
        <is>
          <t>CNAF 2017 (Orden ETU/1033/2017), notas UN - https://www.boe.es/buscar/doc.php?id=BOE-A-2017-12318</t>
        </is>
      </c>
    </row>
    <row r="17">
      <c r="A17" t="inlineStr">
        <is>
          <t>CNAF 2021 (Orden ETD/1449/2021), notas UN - https://www.boe.es/diario_boe/txt.php?id=BOE-A-2021-21346</t>
        </is>
      </c>
    </row>
    <row r="18">
      <c r="A18" t="inlineStr">
        <is>
          <t>Rules PDF: 'The system will need to be compliant with limitations according to CNAF 2017 rules (Notas UN CNAF 2017)'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2026-10-04T10:28:20Z</dcterms:created>
  <dcterms:modified xmlns:dcterms="http://purl.org/dc/terms/" xmlns:xsi="http://www.w3.org/2001/XMLSchema-instance" xsi:type="dcterms:W3CDTF">2026-10-04T10:28:20Z</dcterms:modified>
</cp:coreProperties>
</file>