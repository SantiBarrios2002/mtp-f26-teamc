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urse example 2.4 GHz" sheetId="2" state="visible" r:id="rId2"/>
    <sheet name="SRI 70 m" sheetId="3" state="visible" r:id="rId3"/>
    <sheet name="MRM 260 m" sheetId="4" state="visible" r:id="rId4"/>
    <sheet name="NM hop 100 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##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</font>
    <font>
      <b val="1"/>
    </font>
    <font>
      <color rgb="001F4E9E"/>
    </font>
  </fonts>
  <fills count="4">
    <fill>
      <patternFill/>
    </fill>
    <fill>
      <patternFill patternType="gray125"/>
    </fill>
    <fill>
      <patternFill patternType="solid">
        <fgColor rgb="00E3EFF1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1" fontId="4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164" fontId="0" fillId="2" borderId="0" applyAlignment="1" pivotButton="0" quotePrefix="0" xfId="0">
      <alignment vertical="center"/>
    </xf>
    <xf numFmtId="164" fontId="4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Course AN5142 link-budget sheet, rebuilt in its own layout with Team C's 869 MHz baseline</t>
        </is>
      </c>
    </row>
    <row r="2">
      <c r="A2" t="inlineStr">
        <is>
          <t>Generated by radio/build_course_sheet.py. Same rows, labels and formulas as the course file</t>
        </is>
      </c>
    </row>
    <row r="3">
      <c r="A3" t="inlineStr">
        <is>
          <t>AN5142-link-budget_corr_211022.xls ('Link Budget' sheet); its 'Ground Multipath' sheet is inlined in rows 46-59.</t>
        </is>
      </c>
    </row>
    <row r="4">
      <c r="A4" t="inlineStr">
        <is>
          <t>Course correction kept: flat earth with no 1/2 factor and the |cos| worst-case ground bounce.</t>
        </is>
      </c>
    </row>
    <row r="5">
      <c r="A5" t="inlineStr"/>
    </row>
    <row r="6">
      <c r="A6" t="inlineStr">
        <is>
          <t>Sheet 'Course example 2.4 GHz' re-enters the course's own inputs and reproduces its values (check).</t>
        </is>
      </c>
    </row>
    <row r="7">
      <c r="A7" t="inlineStr">
        <is>
          <t>Sheets 'SRI 70 m', 'MRM 260 m', 'NM hop 100 m': RFM69HCW 868 at +17 dBm, 100 kbps, 869.525 MHz.</t>
        </is>
      </c>
    </row>
    <row r="8">
      <c r="A8" t="inlineStr"/>
    </row>
    <row r="9">
      <c r="A9" t="inlineStr">
        <is>
          <t>Blue = input. Yellow = assumption to replace with a measurement (antenna gain, container loss,</t>
        </is>
      </c>
    </row>
    <row r="10">
      <c r="A10" t="inlineStr">
        <is>
          <t>sensitivity at 100 kbps (datasheet stops at 38.4 kbps), heights, noise figure, bandwidth).</t>
        </is>
      </c>
    </row>
    <row r="11">
      <c r="A11" t="inlineStr">
        <is>
          <t>Light blue rows 63-68 are Team C additions: margin, SNR at PRFE, e.r.p. and the CNAF check.</t>
        </is>
      </c>
    </row>
    <row r="12">
      <c r="A12" t="inlineStr">
        <is>
          <t>Row 43 keeps the course's definition: sensitivity (G31) over noise power, not PRFE over noise.</t>
        </is>
      </c>
    </row>
    <row r="13">
      <c r="A13" t="inlineStr"/>
    </row>
    <row r="14">
      <c r="A14" t="inlineStr">
        <is>
          <t>Full multi-scenario model: MTP-F26_TeamC_Radio_LinkBudget.xlsx (same maths, 15 scenarios).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8" customWidth="1" min="3" max="3"/>
    <col width="48" customWidth="1" min="4" max="4"/>
    <col width="14" customWidth="1" min="5" max="5"/>
    <col width="14" customWidth="1" min="7" max="7"/>
  </cols>
  <sheetData>
    <row r="1">
      <c r="A1" s="2" t="inlineStr">
        <is>
          <t>RF System (Link Budget) Calculations</t>
        </is>
      </c>
      <c r="B1" s="3" t="n"/>
      <c r="C1" s="3" t="n"/>
      <c r="D1" s="3" t="n"/>
      <c r="E1" s="3" t="n"/>
      <c r="F1" s="3" t="n"/>
      <c r="G1" s="4" t="inlineStr">
        <is>
          <t>Course inputs (Maxim AN5142 example as given in the course .xls). Values must match the original file.</t>
        </is>
      </c>
    </row>
    <row r="2">
      <c r="A2" s="5" t="inlineStr">
        <is>
          <t>System Variables</t>
        </is>
      </c>
      <c r="B2" s="5" t="inlineStr">
        <is>
          <t>Variable</t>
        </is>
      </c>
      <c r="C2" s="5" t="inlineStr">
        <is>
          <t>Units</t>
        </is>
      </c>
      <c r="D2" s="5" t="inlineStr">
        <is>
          <t>Equation</t>
        </is>
      </c>
      <c r="E2" s="5" t="inlineStr">
        <is>
          <t>Value</t>
        </is>
      </c>
      <c r="F2" s="3" t="n"/>
      <c r="G2" s="3" t="n"/>
    </row>
    <row r="3">
      <c r="A3" s="3" t="inlineStr">
        <is>
          <t>Frequency</t>
        </is>
      </c>
      <c r="B3" s="3" t="inlineStr">
        <is>
          <t>f0</t>
        </is>
      </c>
      <c r="C3" s="3" t="inlineStr">
        <is>
          <t>MHz</t>
        </is>
      </c>
      <c r="D3" s="3" t="inlineStr"/>
      <c r="E3" s="6" t="n">
        <v>2467</v>
      </c>
      <c r="F3" s="3" t="n"/>
      <c r="G3" s="3" t="n"/>
    </row>
    <row r="4">
      <c r="A4" s="3" t="inlineStr">
        <is>
          <t>Speed of Light</t>
        </is>
      </c>
      <c r="B4" s="3" t="inlineStr">
        <is>
          <t>c</t>
        </is>
      </c>
      <c r="C4" s="3" t="inlineStr">
        <is>
          <t>m/s</t>
        </is>
      </c>
      <c r="D4" s="3" t="inlineStr"/>
      <c r="E4" s="7" t="n">
        <v>299792458</v>
      </c>
      <c r="F4" s="3" t="n"/>
      <c r="G4" s="3" t="n"/>
    </row>
    <row r="5">
      <c r="A5" s="3" t="inlineStr">
        <is>
          <t>Wavelength</t>
        </is>
      </c>
      <c r="B5" s="3" t="inlineStr">
        <is>
          <t>λ</t>
        </is>
      </c>
      <c r="C5" s="3" t="inlineStr">
        <is>
          <t>m</t>
        </is>
      </c>
      <c r="D5" s="3" t="inlineStr">
        <is>
          <t>λ = c/f0</t>
        </is>
      </c>
      <c r="E5" s="7">
        <f>E4/(E3*1000000)</f>
        <v/>
      </c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5" t="inlineStr">
        <is>
          <t>Block</t>
        </is>
      </c>
      <c r="B8" s="5" t="inlineStr">
        <is>
          <t>Variable</t>
        </is>
      </c>
      <c r="C8" s="5" t="inlineStr">
        <is>
          <t>Units</t>
        </is>
      </c>
      <c r="D8" s="5" t="inlineStr">
        <is>
          <t>Equation</t>
        </is>
      </c>
      <c r="E8" s="5" t="inlineStr">
        <is>
          <t>Value</t>
        </is>
      </c>
      <c r="F8" s="3" t="n"/>
      <c r="G8" s="3" t="n"/>
    </row>
    <row r="9">
      <c r="A9" s="3" t="inlineStr">
        <is>
          <t>PA Power</t>
        </is>
      </c>
      <c r="B9" s="3" t="inlineStr">
        <is>
          <t>PPA</t>
        </is>
      </c>
      <c r="C9" s="3" t="inlineStr">
        <is>
          <t>dBm</t>
        </is>
      </c>
      <c r="D9" s="3" t="inlineStr"/>
      <c r="E9" s="6" t="n">
        <v>10</v>
      </c>
      <c r="F9" s="3" t="n"/>
      <c r="G9" s="3" t="n"/>
    </row>
    <row r="10">
      <c r="A10" s="3" t="inlineStr">
        <is>
          <t>TX Match Loss</t>
        </is>
      </c>
      <c r="B10" s="3" t="inlineStr">
        <is>
          <t>LMatchT</t>
        </is>
      </c>
      <c r="C10" s="3" t="inlineStr">
        <is>
          <t>dB</t>
        </is>
      </c>
      <c r="D10" s="3" t="inlineStr"/>
      <c r="E10" s="6" t="n"/>
      <c r="F10" s="3" t="n"/>
      <c r="G10" s="3" t="n"/>
    </row>
    <row r="11">
      <c r="A11" s="3" t="inlineStr">
        <is>
          <t>TX source</t>
        </is>
      </c>
      <c r="B11" s="3" t="inlineStr">
        <is>
          <t>PTX</t>
        </is>
      </c>
      <c r="C11" s="3" t="inlineStr">
        <is>
          <t>dBm</t>
        </is>
      </c>
      <c r="D11" s="3" t="inlineStr">
        <is>
          <t>PTX = PPA + LMatchT</t>
        </is>
      </c>
      <c r="E11" s="7">
        <f>E9+E10</f>
        <v/>
      </c>
      <c r="F11" s="3" t="n"/>
      <c r="G11" s="3" t="n"/>
    </row>
    <row r="12">
      <c r="A12" s="3" t="inlineStr">
        <is>
          <t>TX connector loss</t>
        </is>
      </c>
      <c r="B12" s="3" t="inlineStr">
        <is>
          <t>LConT1</t>
        </is>
      </c>
      <c r="C12" s="3" t="inlineStr">
        <is>
          <t>dB</t>
        </is>
      </c>
      <c r="D12" s="3" t="inlineStr">
        <is>
          <t>(from Connector Loss sheet)</t>
        </is>
      </c>
      <c r="E12" s="6" t="n">
        <v>-0.57</v>
      </c>
      <c r="F12" s="3" t="n"/>
      <c r="G12" s="3" t="n"/>
    </row>
    <row r="13">
      <c r="A13" s="3" t="inlineStr">
        <is>
          <t>TX cable loss</t>
        </is>
      </c>
      <c r="B13" s="3" t="inlineStr">
        <is>
          <t>LCabT</t>
        </is>
      </c>
      <c r="C13" s="3" t="inlineStr">
        <is>
          <t>dB</t>
        </is>
      </c>
      <c r="D13" s="3" t="inlineStr">
        <is>
          <t>(from Cable Loss sheet)</t>
        </is>
      </c>
      <c r="E13" s="6" t="n"/>
      <c r="F13" s="3" t="n"/>
      <c r="G13" s="3" t="n"/>
    </row>
    <row r="14">
      <c r="A14" s="3" t="inlineStr">
        <is>
          <t>TX connector loss (remote antenna)</t>
        </is>
      </c>
      <c r="B14" s="3" t="inlineStr">
        <is>
          <t>LConT2</t>
        </is>
      </c>
      <c r="C14" s="3" t="inlineStr">
        <is>
          <t>dB</t>
        </is>
      </c>
      <c r="D14" s="3" t="inlineStr">
        <is>
          <t>(from Connector Loss sheet)</t>
        </is>
      </c>
      <c r="E14" s="6" t="n"/>
      <c r="F14" s="3" t="n"/>
      <c r="G14" s="3" t="n"/>
    </row>
    <row r="15">
      <c r="A15" s="3" t="inlineStr">
        <is>
          <t>TX power</t>
        </is>
      </c>
      <c r="B15" s="3" t="inlineStr">
        <is>
          <t>PT</t>
        </is>
      </c>
      <c r="C15" s="3" t="inlineStr">
        <is>
          <t>dBm</t>
        </is>
      </c>
      <c r="D15" s="3" t="inlineStr">
        <is>
          <t>PT = PTX + (C&amp;C Loss)</t>
        </is>
      </c>
      <c r="E15" s="7">
        <f>E11+E12+E13+E14</f>
        <v/>
      </c>
      <c r="F15" s="3" t="n"/>
      <c r="G15" s="3" t="n"/>
    </row>
    <row r="16">
      <c r="A16" s="3" t="inlineStr">
        <is>
          <t>TX antenna gain</t>
        </is>
      </c>
      <c r="B16" s="3" t="inlineStr">
        <is>
          <t>GT</t>
        </is>
      </c>
      <c r="C16" s="3" t="inlineStr">
        <is>
          <t>dBi</t>
        </is>
      </c>
      <c r="D16" s="3" t="inlineStr"/>
      <c r="E16" s="6" t="n">
        <v>-15</v>
      </c>
      <c r="F16" s="3" t="n"/>
      <c r="G16" s="3" t="n"/>
    </row>
    <row r="17">
      <c r="A17" s="3" t="inlineStr">
        <is>
          <t>Effective (Isotropic) Radiated Power</t>
        </is>
      </c>
      <c r="B17" s="3" t="inlineStr">
        <is>
          <t>EIRP</t>
        </is>
      </c>
      <c r="C17" s="3" t="inlineStr">
        <is>
          <t>dBm</t>
        </is>
      </c>
      <c r="D17" s="3" t="inlineStr">
        <is>
          <t>EIRP = PT + GT</t>
        </is>
      </c>
      <c r="E17" s="7">
        <f>E15+E16</f>
        <v/>
      </c>
      <c r="F17" s="3" t="n"/>
      <c r="G17" s="3" t="n"/>
    </row>
    <row r="18">
      <c r="A18" s="3" t="inlineStr">
        <is>
          <t>Distance</t>
        </is>
      </c>
      <c r="B18" s="3" t="inlineStr">
        <is>
          <t>d</t>
        </is>
      </c>
      <c r="C18" s="3" t="inlineStr">
        <is>
          <t>m</t>
        </is>
      </c>
      <c r="D18" s="3" t="inlineStr"/>
      <c r="E18" s="6" t="n">
        <v>230</v>
      </c>
      <c r="F18" s="3" t="n"/>
      <c r="G18" s="3" t="n"/>
    </row>
    <row r="19">
      <c r="A19" s="3" t="inlineStr">
        <is>
          <t>Channel Medium Loss Factor</t>
        </is>
      </c>
      <c r="B19" s="3" t="inlineStr">
        <is>
          <t>L0</t>
        </is>
      </c>
      <c r="C19" s="3" t="inlineStr">
        <is>
          <t>dB</t>
        </is>
      </c>
      <c r="D19" s="3" t="inlineStr">
        <is>
          <t>(from Medium Loss sheet)</t>
        </is>
      </c>
      <c r="E19" s="6" t="n">
        <v>0</v>
      </c>
      <c r="F19" s="3" t="n"/>
      <c r="G19" s="3" t="n"/>
    </row>
    <row r="20">
      <c r="A20" s="3" t="inlineStr">
        <is>
          <t>Free Space Loss</t>
        </is>
      </c>
      <c r="B20" s="3" t="inlineStr">
        <is>
          <t>LFS</t>
        </is>
      </c>
      <c r="C20" s="3" t="inlineStr">
        <is>
          <t>dB</t>
        </is>
      </c>
      <c r="D20" s="3" t="inlineStr">
        <is>
          <t>LFS = (λ/4πd)²</t>
        </is>
      </c>
      <c r="E20" s="7">
        <f>20*LOG10(E5/(4*PI()*E18))</f>
        <v/>
      </c>
      <c r="F20" s="3" t="n"/>
      <c r="G20" s="3" t="n"/>
    </row>
    <row r="21">
      <c r="A21" s="3" t="inlineStr">
        <is>
          <t>Power at RX Antenna, Free Space Path</t>
        </is>
      </c>
      <c r="B21" s="3" t="inlineStr">
        <is>
          <t>PChanFS</t>
        </is>
      </c>
      <c r="C21" s="3" t="inlineStr">
        <is>
          <t>dB</t>
        </is>
      </c>
      <c r="D21" s="3" t="inlineStr">
        <is>
          <t>PChanFS = LFS + L0 + EIRP</t>
        </is>
      </c>
      <c r="E21" s="7">
        <f>E20+E19+E17</f>
        <v/>
      </c>
      <c r="F21" s="3" t="n"/>
      <c r="G21" s="3" t="n"/>
    </row>
    <row r="22">
      <c r="A22" s="3" t="inlineStr">
        <is>
          <t>Flat Earth Loss (Includes Ground Bounce)</t>
        </is>
      </c>
      <c r="B22" s="3" t="inlineStr">
        <is>
          <t>LFE</t>
        </is>
      </c>
      <c r="C22" s="3" t="inlineStr">
        <is>
          <t>dB</t>
        </is>
      </c>
      <c r="D22" s="3" t="inlineStr">
        <is>
          <t>(from Ground Multipath block, row 59)</t>
        </is>
      </c>
      <c r="E22" s="7">
        <f>E59</f>
        <v/>
      </c>
      <c r="F22" s="3" t="n"/>
      <c r="G22" s="3" t="n"/>
    </row>
    <row r="23">
      <c r="A23" s="3" t="inlineStr">
        <is>
          <t>Multipath Loss</t>
        </is>
      </c>
      <c r="B23" s="3" t="inlineStr">
        <is>
          <t>LMP</t>
        </is>
      </c>
      <c r="C23" s="3" t="inlineStr">
        <is>
          <t>dB</t>
        </is>
      </c>
      <c r="D23" s="3" t="inlineStr"/>
      <c r="E23" s="6" t="n"/>
      <c r="F23" s="3" t="n"/>
      <c r="G23" s="3" t="n"/>
    </row>
    <row r="24">
      <c r="A24" s="3" t="inlineStr">
        <is>
          <t>Obstruction Loss</t>
        </is>
      </c>
      <c r="B24" s="3" t="inlineStr">
        <is>
          <t>LObs-Total</t>
        </is>
      </c>
      <c r="C24" s="3" t="inlineStr">
        <is>
          <t>dB</t>
        </is>
      </c>
      <c r="D24" s="3" t="inlineStr"/>
      <c r="E24" s="6" t="n">
        <v>0</v>
      </c>
      <c r="F24" s="3" t="n"/>
      <c r="G24" s="3" t="n"/>
    </row>
    <row r="25">
      <c r="A25" s="3" t="inlineStr">
        <is>
          <t>Power at RX Antenna, Flat Earth Path</t>
        </is>
      </c>
      <c r="B25" s="3" t="inlineStr">
        <is>
          <t>PChanFE</t>
        </is>
      </c>
      <c r="C25" s="3" t="inlineStr">
        <is>
          <t>dB</t>
        </is>
      </c>
      <c r="D25" s="3" t="inlineStr">
        <is>
          <t>PChanFE = LFE + L0 + LMP + LObs + EIRP</t>
        </is>
      </c>
      <c r="E25" s="7">
        <f>E22+E19+E23+E24+E17</f>
        <v/>
      </c>
      <c r="F25" s="3" t="n"/>
      <c r="G25" s="3" t="n"/>
    </row>
    <row r="26">
      <c r="A26" s="3" t="inlineStr">
        <is>
          <t>RX antenna gain</t>
        </is>
      </c>
      <c r="B26" s="3" t="inlineStr">
        <is>
          <t>GR</t>
        </is>
      </c>
      <c r="C26" s="3" t="inlineStr">
        <is>
          <t>dBi</t>
        </is>
      </c>
      <c r="D26" s="3" t="inlineStr"/>
      <c r="E26" s="6" t="n">
        <v>-15</v>
      </c>
      <c r="F26" s="3" t="n"/>
      <c r="G26" s="3" t="n"/>
    </row>
    <row r="27">
      <c r="A27" s="3" t="inlineStr">
        <is>
          <t>RX connector loss</t>
        </is>
      </c>
      <c r="B27" s="3" t="inlineStr">
        <is>
          <t>LConR1</t>
        </is>
      </c>
      <c r="C27" s="3" t="inlineStr">
        <is>
          <t>dB</t>
        </is>
      </c>
      <c r="D27" s="3" t="inlineStr"/>
      <c r="E27" s="6" t="n">
        <v>-0.57</v>
      </c>
      <c r="F27" s="3" t="n"/>
      <c r="G27" s="3" t="n"/>
    </row>
    <row r="28">
      <c r="A28" s="3" t="inlineStr">
        <is>
          <t>RX cable loss</t>
        </is>
      </c>
      <c r="B28" s="3" t="inlineStr">
        <is>
          <t>LCabR</t>
        </is>
      </c>
      <c r="C28" s="3" t="inlineStr">
        <is>
          <t>dB</t>
        </is>
      </c>
      <c r="D28" s="3" t="inlineStr"/>
      <c r="E28" s="6" t="n"/>
      <c r="F28" s="3" t="n"/>
      <c r="G28" s="3" t="n"/>
    </row>
    <row r="29">
      <c r="A29" s="3" t="inlineStr">
        <is>
          <t>RX connector loss (remote antenna)</t>
        </is>
      </c>
      <c r="B29" s="3" t="inlineStr">
        <is>
          <t>LConR2</t>
        </is>
      </c>
      <c r="C29" s="3" t="inlineStr">
        <is>
          <t>dB</t>
        </is>
      </c>
      <c r="D29" s="3" t="inlineStr"/>
      <c r="E29" s="6" t="n"/>
      <c r="F29" s="3" t="n"/>
      <c r="G29" s="3" t="n"/>
    </row>
    <row r="30">
      <c r="A30" s="3" t="inlineStr">
        <is>
          <t>RX power, Free Space Path</t>
        </is>
      </c>
      <c r="B30" s="3" t="inlineStr">
        <is>
          <t>PRFS</t>
        </is>
      </c>
      <c r="C30" s="3" t="inlineStr">
        <is>
          <t>dBm</t>
        </is>
      </c>
      <c r="D30" s="3" t="inlineStr">
        <is>
          <t>PRFS = PChanFS + GR + (C&amp;C Loss)</t>
        </is>
      </c>
      <c r="E30" s="7">
        <f>E21+E26+E27+E28+E29</f>
        <v/>
      </c>
      <c r="F30" s="3" t="n"/>
      <c r="G30" s="3" t="n"/>
    </row>
    <row r="31">
      <c r="A31" s="3" t="inlineStr">
        <is>
          <t>RX power, Flat Earth Path</t>
        </is>
      </c>
      <c r="B31" s="3" t="inlineStr">
        <is>
          <t>PRFE</t>
        </is>
      </c>
      <c r="C31" s="3" t="inlineStr">
        <is>
          <t>dBm</t>
        </is>
      </c>
      <c r="D31" s="3" t="inlineStr">
        <is>
          <t>PRFE = PChanFE + GR + (C&amp;C Loss)</t>
        </is>
      </c>
      <c r="E31" s="7">
        <f>E25+E26+E27+E28+E29</f>
        <v/>
      </c>
      <c r="F31" s="3" t="n"/>
      <c r="G31" s="8" t="n">
        <v>-114</v>
      </c>
    </row>
    <row r="32">
      <c r="A32" s="3" t="n"/>
      <c r="B32" s="3" t="n"/>
      <c r="C32" s="3" t="n"/>
      <c r="D32" s="3" t="n"/>
      <c r="E32" s="3" t="n"/>
      <c r="F32" s="5" t="inlineStr">
        <is>
          <t>Sensitivity of Rx</t>
        </is>
      </c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5" t="inlineStr">
        <is>
          <t>Receiver Sensitivity Calculations</t>
        </is>
      </c>
      <c r="B35" s="5" t="inlineStr">
        <is>
          <t>Variable</t>
        </is>
      </c>
      <c r="C35" s="5" t="inlineStr">
        <is>
          <t>Units</t>
        </is>
      </c>
      <c r="D35" s="5" t="inlineStr">
        <is>
          <t>Equation</t>
        </is>
      </c>
      <c r="E35" s="5" t="inlineStr">
        <is>
          <t>Value</t>
        </is>
      </c>
      <c r="F35" s="3" t="n"/>
      <c r="G35" s="3" t="n"/>
    </row>
    <row r="36">
      <c r="A36" s="3" t="inlineStr">
        <is>
          <t>RX Noise Figure</t>
        </is>
      </c>
      <c r="B36" s="3" t="inlineStr">
        <is>
          <t>NF</t>
        </is>
      </c>
      <c r="C36" s="3" t="inlineStr">
        <is>
          <t>dB</t>
        </is>
      </c>
      <c r="D36" s="3" t="inlineStr"/>
      <c r="E36" s="6" t="n">
        <v>7</v>
      </c>
      <c r="F36" s="3" t="n"/>
      <c r="G36" s="3" t="n"/>
    </row>
    <row r="37">
      <c r="A37" s="3" t="inlineStr">
        <is>
          <t>Operating Temperature</t>
        </is>
      </c>
      <c r="B37" s="3" t="inlineStr">
        <is>
          <t>T0</t>
        </is>
      </c>
      <c r="C37" s="3" t="inlineStr">
        <is>
          <t>K</t>
        </is>
      </c>
      <c r="D37" s="3" t="inlineStr"/>
      <c r="E37" s="6" t="n">
        <v>290</v>
      </c>
      <c r="F37" s="3" t="n"/>
      <c r="G37" s="3" t="n"/>
    </row>
    <row r="38">
      <c r="A38" s="3" t="inlineStr">
        <is>
          <t>Effective Noise Temperature</t>
        </is>
      </c>
      <c r="B38" s="3" t="inlineStr">
        <is>
          <t>Te</t>
        </is>
      </c>
      <c r="C38" s="3" t="inlineStr">
        <is>
          <t>K</t>
        </is>
      </c>
      <c r="D38" s="3" t="inlineStr">
        <is>
          <t>Te = T0(NF - 1)</t>
        </is>
      </c>
      <c r="E38" s="7">
        <f>E37*(10^(E36/10)-1)</f>
        <v/>
      </c>
      <c r="F38" s="3" t="n"/>
      <c r="G38" s="3" t="n"/>
    </row>
    <row r="39">
      <c r="A39" s="3" t="inlineStr">
        <is>
          <t>Boltzmann's constant</t>
        </is>
      </c>
      <c r="B39" s="3" t="inlineStr">
        <is>
          <t>k</t>
        </is>
      </c>
      <c r="C39" s="3" t="inlineStr">
        <is>
          <t>J/K</t>
        </is>
      </c>
      <c r="D39" s="3" t="inlineStr"/>
      <c r="E39" s="9" t="n">
        <v>1.38e-23</v>
      </c>
      <c r="F39" s="3" t="n"/>
      <c r="G39" s="3" t="n"/>
    </row>
    <row r="40">
      <c r="A40" s="3" t="inlineStr">
        <is>
          <t>Receive Bandwidth</t>
        </is>
      </c>
      <c r="B40" s="3" t="inlineStr">
        <is>
          <t>BWRX</t>
        </is>
      </c>
      <c r="C40" s="3" t="inlineStr">
        <is>
          <t>MHz</t>
        </is>
      </c>
      <c r="D40" s="3" t="inlineStr"/>
      <c r="E40" s="6" t="n">
        <v>0.012</v>
      </c>
      <c r="F40" s="3" t="n"/>
      <c r="G40" s="3" t="n"/>
    </row>
    <row r="41">
      <c r="A41" s="3" t="inlineStr">
        <is>
          <t>Antenna Temperature</t>
        </is>
      </c>
      <c r="B41" s="3" t="inlineStr">
        <is>
          <t>TAnt</t>
        </is>
      </c>
      <c r="C41" s="3" t="inlineStr">
        <is>
          <t>K</t>
        </is>
      </c>
      <c r="D41" s="3" t="inlineStr"/>
      <c r="E41" s="6" t="n">
        <v>300</v>
      </c>
      <c r="F41" s="3" t="n"/>
      <c r="G41" s="3" t="n"/>
    </row>
    <row r="42">
      <c r="A42" s="3" t="inlineStr">
        <is>
          <t>Noise Power (at RX)</t>
        </is>
      </c>
      <c r="B42" s="3" t="inlineStr">
        <is>
          <t>Pn</t>
        </is>
      </c>
      <c r="C42" s="3" t="inlineStr">
        <is>
          <t>dBm</t>
        </is>
      </c>
      <c r="D42" s="3" t="inlineStr">
        <is>
          <t>Pn = k(TAnt + Te)BWRX</t>
        </is>
      </c>
      <c r="E42" s="7">
        <f>10*LOG10(E39*(E41+E38)*E40*1000000)+30</f>
        <v/>
      </c>
      <c r="F42" s="3" t="n"/>
      <c r="G42" s="3" t="n"/>
    </row>
    <row r="43">
      <c r="A43" s="3" t="inlineStr">
        <is>
          <t>Signal to Noise Ratio</t>
        </is>
      </c>
      <c r="B43" s="3" t="inlineStr">
        <is>
          <t>SNRRX</t>
        </is>
      </c>
      <c r="C43" s="3" t="inlineStr">
        <is>
          <t>dB</t>
        </is>
      </c>
      <c r="D43" s="3" t="inlineStr">
        <is>
          <t>SNRRX = PRX/Pn  (course: sensitivity G31 over Pn)</t>
        </is>
      </c>
      <c r="E43" s="7">
        <f>G31-E42</f>
        <v/>
      </c>
      <c r="F43" s="3" t="n"/>
      <c r="G43" s="3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5" t="inlineStr">
        <is>
          <t>Ground Reflection Path Loss (course 'Ground Multipath' sheet, inlined here)</t>
        </is>
      </c>
      <c r="B46" s="3" t="n"/>
      <c r="C46" s="3" t="n"/>
      <c r="D46" s="3" t="n"/>
      <c r="E46" s="3" t="n"/>
      <c r="F46" s="3" t="n"/>
      <c r="G46" s="3" t="n"/>
    </row>
    <row r="47">
      <c r="A47" s="5" t="inlineStr">
        <is>
          <t>Block</t>
        </is>
      </c>
      <c r="B47" s="5" t="inlineStr">
        <is>
          <t>Variable</t>
        </is>
      </c>
      <c r="C47" s="5" t="inlineStr">
        <is>
          <t>Units</t>
        </is>
      </c>
      <c r="D47" s="5" t="inlineStr">
        <is>
          <t>Equation</t>
        </is>
      </c>
      <c r="E47" s="5" t="inlineStr">
        <is>
          <t>Value</t>
        </is>
      </c>
      <c r="F47" s="3" t="n"/>
      <c r="G47" s="3" t="n"/>
    </row>
    <row r="48">
      <c r="A48" s="3" t="inlineStr">
        <is>
          <t>TX height</t>
        </is>
      </c>
      <c r="B48" s="3" t="inlineStr">
        <is>
          <t>hTX</t>
        </is>
      </c>
      <c r="C48" s="3" t="inlineStr">
        <is>
          <t>m</t>
        </is>
      </c>
      <c r="D48" s="3" t="inlineStr"/>
      <c r="E48" s="6" t="n">
        <v>1</v>
      </c>
      <c r="F48" s="3" t="n"/>
      <c r="G48" s="3" t="n"/>
    </row>
    <row r="49">
      <c r="A49" s="3" t="inlineStr">
        <is>
          <t>RX height</t>
        </is>
      </c>
      <c r="B49" s="3" t="inlineStr">
        <is>
          <t>hRX</t>
        </is>
      </c>
      <c r="C49" s="3" t="inlineStr">
        <is>
          <t>m</t>
        </is>
      </c>
      <c r="D49" s="3" t="inlineStr"/>
      <c r="E49" s="6" t="n">
        <v>1</v>
      </c>
      <c r="F49" s="3" t="n"/>
      <c r="G49" s="3" t="n"/>
    </row>
    <row r="50">
      <c r="A50" s="3" t="inlineStr">
        <is>
          <t>Distance</t>
        </is>
      </c>
      <c r="B50" s="3" t="inlineStr">
        <is>
          <t>d</t>
        </is>
      </c>
      <c r="C50" s="3" t="inlineStr">
        <is>
          <t>m</t>
        </is>
      </c>
      <c r="D50" s="3" t="inlineStr">
        <is>
          <t>(from Link Budget, row 18)</t>
        </is>
      </c>
      <c r="E50" s="7">
        <f>E18</f>
        <v/>
      </c>
      <c r="F50" s="3" t="n"/>
      <c r="G50" s="3" t="n"/>
    </row>
    <row r="51">
      <c r="A51" s="3" t="inlineStr">
        <is>
          <t>Direct Path</t>
        </is>
      </c>
      <c r="B51" s="3" t="inlineStr">
        <is>
          <t>d1</t>
        </is>
      </c>
      <c r="C51" s="3" t="inlineStr">
        <is>
          <t>m</t>
        </is>
      </c>
      <c r="D51" s="3" t="inlineStr">
        <is>
          <t>d1 = (d² + (hTX - hRX)²)^½</t>
        </is>
      </c>
      <c r="E51" s="7">
        <f>SQRT(E50^2+(E48-E49)^2)</f>
        <v/>
      </c>
      <c r="F51" s="3" t="n"/>
      <c r="G51" s="3" t="n"/>
    </row>
    <row r="52">
      <c r="A52" s="3" t="inlineStr">
        <is>
          <t>Reflection Path</t>
        </is>
      </c>
      <c r="B52" s="3" t="inlineStr">
        <is>
          <t>d2</t>
        </is>
      </c>
      <c r="C52" s="3" t="inlineStr">
        <is>
          <t>m</t>
        </is>
      </c>
      <c r="D52" s="3" t="inlineStr">
        <is>
          <t>d2 = (d² + (hTX + hRX)²)^½</t>
        </is>
      </c>
      <c r="E52" s="7">
        <f>SQRT(E50^2+(E48+E49)^2)</f>
        <v/>
      </c>
      <c r="F52" s="3" t="n"/>
      <c r="G52" s="3" t="n"/>
    </row>
    <row r="53">
      <c r="A53" s="3" t="inlineStr">
        <is>
          <t>Reflection Path Δ</t>
        </is>
      </c>
      <c r="B53" s="3" t="inlineStr">
        <is>
          <t>Δd</t>
        </is>
      </c>
      <c r="C53" s="3" t="inlineStr">
        <is>
          <t>m</t>
        </is>
      </c>
      <c r="D53" s="3" t="inlineStr">
        <is>
          <t>Δd = d2 - d1</t>
        </is>
      </c>
      <c r="E53" s="7">
        <f>E52-E51</f>
        <v/>
      </c>
      <c r="F53" s="3" t="n"/>
      <c r="G53" s="3" t="n"/>
    </row>
    <row r="54">
      <c r="A54" s="3" t="inlineStr">
        <is>
          <t>Estimated Reflection Path Δ</t>
        </is>
      </c>
      <c r="B54" s="3" t="inlineStr">
        <is>
          <t>Δde</t>
        </is>
      </c>
      <c r="C54" s="3" t="inlineStr">
        <is>
          <t>m</t>
        </is>
      </c>
      <c r="D54" s="3" t="inlineStr">
        <is>
          <t>Δde = 2·hTX·hRX/d</t>
        </is>
      </c>
      <c r="E54" s="7">
        <f>2*E48*E49/E50</f>
        <v/>
      </c>
      <c r="F54" s="3" t="n"/>
      <c r="G54" s="3" t="n"/>
    </row>
    <row r="55">
      <c r="A55" s="3" t="inlineStr">
        <is>
          <t>Wavelength</t>
        </is>
      </c>
      <c r="B55" s="3" t="inlineStr">
        <is>
          <t>λ</t>
        </is>
      </c>
      <c r="C55" s="3" t="inlineStr">
        <is>
          <t>m</t>
        </is>
      </c>
      <c r="D55" s="3" t="inlineStr">
        <is>
          <t>(from Link Budget, row 5)</t>
        </is>
      </c>
      <c r="E55" s="7">
        <f>E5</f>
        <v/>
      </c>
      <c r="F55" s="3" t="n"/>
      <c r="G55" s="3" t="n"/>
    </row>
    <row r="56">
      <c r="A56" s="3" t="inlineStr">
        <is>
          <t>Normalized Ground Bounce Amplitude</t>
        </is>
      </c>
      <c r="B56" s="3" t="inlineStr">
        <is>
          <t>a</t>
        </is>
      </c>
      <c r="C56" s="3" t="inlineStr">
        <is>
          <t>none</t>
        </is>
      </c>
      <c r="D56" s="3" t="inlineStr"/>
      <c r="E56" s="6" t="n">
        <v>1</v>
      </c>
      <c r="F56" s="3" t="n"/>
      <c r="G56" s="3" t="n"/>
    </row>
    <row r="57">
      <c r="A57" s="3" t="inlineStr">
        <is>
          <t>Loss From Ground Bounce Cancellation</t>
        </is>
      </c>
      <c r="B57" s="3" t="inlineStr">
        <is>
          <t>LGB</t>
        </is>
      </c>
      <c r="C57" s="3" t="inlineStr">
        <is>
          <t>dB</t>
        </is>
      </c>
      <c r="D57" s="3" t="inlineStr">
        <is>
          <t>LGB = 10log10(1 + a² - 2a|cos(2πΔd/λ)|)</t>
        </is>
      </c>
      <c r="E57" s="7">
        <f>10*LOG10(1+E56^2-2*E56*ABS(COS(2*PI()*E53/E55)))</f>
        <v/>
      </c>
      <c r="F57" s="3" t="n"/>
      <c r="G57" s="3" t="n"/>
    </row>
    <row r="58">
      <c r="A58" s="3" t="inlineStr">
        <is>
          <t>Free Space Loss</t>
        </is>
      </c>
      <c r="B58" s="3" t="inlineStr">
        <is>
          <t>LFS</t>
        </is>
      </c>
      <c r="C58" s="3" t="inlineStr">
        <is>
          <t>dB</t>
        </is>
      </c>
      <c r="D58" s="3" t="inlineStr">
        <is>
          <t>LFS = 10log10(λ/4πd)²</t>
        </is>
      </c>
      <c r="E58" s="7">
        <f>20*LOG10(E55/(4*PI()*E50))</f>
        <v/>
      </c>
      <c r="F58" s="3" t="n"/>
      <c r="G58" s="3" t="n"/>
    </row>
    <row r="59">
      <c r="A59" s="3" t="inlineStr">
        <is>
          <t>Flat Earth Loss</t>
        </is>
      </c>
      <c r="B59" s="3" t="inlineStr">
        <is>
          <t>LFE</t>
        </is>
      </c>
      <c r="C59" s="3" t="inlineStr">
        <is>
          <t>dB</t>
        </is>
      </c>
      <c r="D59" s="3" t="inlineStr">
        <is>
          <t>LFE = LGB + LFS</t>
        </is>
      </c>
      <c r="E59" s="7">
        <f>E57+E58</f>
        <v/>
      </c>
      <c r="F59" s="3" t="n"/>
      <c r="G59" s="3" t="n"/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5" t="inlineStr">
        <is>
          <t>Added by Team C (not in the course sheet)</t>
        </is>
      </c>
      <c r="B61" s="3" t="n"/>
      <c r="C61" s="3" t="n"/>
      <c r="D61" s="3" t="n"/>
      <c r="E61" s="3" t="n"/>
      <c r="F61" s="3" t="n"/>
      <c r="G61" s="3" t="n"/>
    </row>
    <row r="62">
      <c r="A62" s="5" t="inlineStr">
        <is>
          <t>Block</t>
        </is>
      </c>
      <c r="B62" s="5" t="inlineStr">
        <is>
          <t>Variable</t>
        </is>
      </c>
      <c r="C62" s="5" t="inlineStr">
        <is>
          <t>Units</t>
        </is>
      </c>
      <c r="D62" s="5" t="inlineStr">
        <is>
          <t>Equation</t>
        </is>
      </c>
      <c r="E62" s="5" t="inlineStr">
        <is>
          <t>Value</t>
        </is>
      </c>
      <c r="F62" s="3" t="n"/>
      <c r="G62" s="3" t="n"/>
    </row>
    <row r="63">
      <c r="A63" s="10" t="inlineStr">
        <is>
          <t>Link margin, flat earth</t>
        </is>
      </c>
      <c r="B63" s="10" t="inlineStr">
        <is>
          <t>M</t>
        </is>
      </c>
      <c r="C63" s="10" t="inlineStr">
        <is>
          <t>dB</t>
        </is>
      </c>
      <c r="D63" s="10" t="inlineStr">
        <is>
          <t>M = PRFE - Sensitivity</t>
        </is>
      </c>
      <c r="E63" s="11">
        <f>E31-G31</f>
        <v/>
      </c>
      <c r="F63" s="3" t="n"/>
      <c r="G63" s="3" t="n"/>
    </row>
    <row r="64">
      <c r="A64" s="10" t="inlineStr">
        <is>
          <t>Link margin with AN5142's -20 dB multipath</t>
        </is>
      </c>
      <c r="B64" s="10" t="inlineStr">
        <is>
          <t>M20</t>
        </is>
      </c>
      <c r="C64" s="10" t="inlineStr">
        <is>
          <t>dB</t>
        </is>
      </c>
      <c r="D64" s="10" t="inlineStr">
        <is>
          <t>M20 = M - 20</t>
        </is>
      </c>
      <c r="E64" s="11">
        <f>E63-20</f>
        <v/>
      </c>
      <c r="F64" s="3" t="n"/>
      <c r="G64" s="3" t="n"/>
    </row>
    <row r="65">
      <c r="A65" s="10" t="inlineStr">
        <is>
          <t>SNR at PRFE</t>
        </is>
      </c>
      <c r="B65" s="10" t="inlineStr">
        <is>
          <t>SNR</t>
        </is>
      </c>
      <c r="C65" s="10" t="inlineStr">
        <is>
          <t>dB</t>
        </is>
      </c>
      <c r="D65" s="10" t="inlineStr">
        <is>
          <t>SNR = PRFE - Pn</t>
        </is>
      </c>
      <c r="E65" s="11">
        <f>E31-E42</f>
        <v/>
      </c>
      <c r="F65" s="3" t="n"/>
      <c r="G65" s="3" t="n"/>
    </row>
    <row r="66">
      <c r="A66" s="10" t="inlineStr">
        <is>
          <t>Effective Radiated Power</t>
        </is>
      </c>
      <c r="B66" s="10" t="inlineStr">
        <is>
          <t>ERP</t>
        </is>
      </c>
      <c r="C66" s="10" t="inlineStr">
        <is>
          <t>dBm</t>
        </is>
      </c>
      <c r="D66" s="10" t="inlineStr">
        <is>
          <t>ERP = EIRP - 2.15</t>
        </is>
      </c>
      <c r="E66" s="11">
        <f>E17-2.15</f>
        <v/>
      </c>
      <c r="F66" s="3" t="n"/>
      <c r="G66" s="3" t="n"/>
    </row>
    <row r="67">
      <c r="A67" s="10" t="inlineStr">
        <is>
          <t>Regulatory limit (869.40-869.65 MHz: 500 mW e.r.p.)</t>
        </is>
      </c>
      <c r="B67" s="10" t="inlineStr">
        <is>
          <t>Plim</t>
        </is>
      </c>
      <c r="C67" s="10" t="inlineStr">
        <is>
          <t>dBm</t>
        </is>
      </c>
      <c r="D67" s="10" t="inlineStr">
        <is>
          <t>CNAF UN-39</t>
        </is>
      </c>
      <c r="E67" s="11" t="n">
        <v>27</v>
      </c>
      <c r="F67" s="3" t="n"/>
      <c r="G67" s="3" t="n"/>
    </row>
    <row r="68">
      <c r="A68" s="10" t="inlineStr">
        <is>
          <t>Regulatory check</t>
        </is>
      </c>
      <c r="B68" s="10" t="inlineStr"/>
      <c r="C68" s="10" t="inlineStr"/>
      <c r="D68" s="10" t="inlineStr">
        <is>
          <t>ERP &lt;= Plim</t>
        </is>
      </c>
      <c r="E68" s="11">
        <f>IF(E66&lt;=E67,"OK","OVER LIMIT")</f>
        <v/>
      </c>
      <c r="F68" s="3" t="n"/>
      <c r="G68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8" customWidth="1" min="3" max="3"/>
    <col width="48" customWidth="1" min="4" max="4"/>
    <col width="14" customWidth="1" min="5" max="5"/>
    <col width="14" customWidth="1" min="7" max="7"/>
  </cols>
  <sheetData>
    <row r="1">
      <c r="A1" s="2" t="inlineStr">
        <is>
          <t>RF System (Link Budget) Calculations</t>
        </is>
      </c>
      <c r="B1" s="3" t="n"/>
      <c r="C1" s="3" t="n"/>
      <c r="D1" s="3" t="n"/>
      <c r="E1" s="3" t="n"/>
      <c r="F1" s="3" t="n"/>
      <c r="G1" s="4" t="inlineStr">
        <is>
          <t>Team C baseline: RFM69HCW 868, +17 dBm, 100 kbps GFSK, 869.525 MHz, antennas 0 dBi at 0.75 m, -1 dB container.</t>
        </is>
      </c>
    </row>
    <row r="2">
      <c r="A2" s="5" t="inlineStr">
        <is>
          <t>System Variables</t>
        </is>
      </c>
      <c r="B2" s="5" t="inlineStr">
        <is>
          <t>Variable</t>
        </is>
      </c>
      <c r="C2" s="5" t="inlineStr">
        <is>
          <t>Units</t>
        </is>
      </c>
      <c r="D2" s="5" t="inlineStr">
        <is>
          <t>Equation</t>
        </is>
      </c>
      <c r="E2" s="5" t="inlineStr">
        <is>
          <t>Value</t>
        </is>
      </c>
      <c r="F2" s="3" t="n"/>
      <c r="G2" s="3" t="n"/>
    </row>
    <row r="3">
      <c r="A3" s="3" t="inlineStr">
        <is>
          <t>Frequency</t>
        </is>
      </c>
      <c r="B3" s="3" t="inlineStr">
        <is>
          <t>f0</t>
        </is>
      </c>
      <c r="C3" s="3" t="inlineStr">
        <is>
          <t>MHz</t>
        </is>
      </c>
      <c r="D3" s="3" t="inlineStr"/>
      <c r="E3" s="6" t="n">
        <v>869.525</v>
      </c>
      <c r="F3" s="3" t="n"/>
      <c r="G3" s="3" t="n"/>
    </row>
    <row r="4">
      <c r="A4" s="3" t="inlineStr">
        <is>
          <t>Speed of Light</t>
        </is>
      </c>
      <c r="B4" s="3" t="inlineStr">
        <is>
          <t>c</t>
        </is>
      </c>
      <c r="C4" s="3" t="inlineStr">
        <is>
          <t>m/s</t>
        </is>
      </c>
      <c r="D4" s="3" t="inlineStr"/>
      <c r="E4" s="7" t="n">
        <v>299792458</v>
      </c>
      <c r="F4" s="3" t="n"/>
      <c r="G4" s="3" t="n"/>
    </row>
    <row r="5">
      <c r="A5" s="3" t="inlineStr">
        <is>
          <t>Wavelength</t>
        </is>
      </c>
      <c r="B5" s="3" t="inlineStr">
        <is>
          <t>λ</t>
        </is>
      </c>
      <c r="C5" s="3" t="inlineStr">
        <is>
          <t>m</t>
        </is>
      </c>
      <c r="D5" s="3" t="inlineStr">
        <is>
          <t>λ = c/f0</t>
        </is>
      </c>
      <c r="E5" s="7">
        <f>E4/(E3*1000000)</f>
        <v/>
      </c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5" t="inlineStr">
        <is>
          <t>Block</t>
        </is>
      </c>
      <c r="B8" s="5" t="inlineStr">
        <is>
          <t>Variable</t>
        </is>
      </c>
      <c r="C8" s="5" t="inlineStr">
        <is>
          <t>Units</t>
        </is>
      </c>
      <c r="D8" s="5" t="inlineStr">
        <is>
          <t>Equation</t>
        </is>
      </c>
      <c r="E8" s="5" t="inlineStr">
        <is>
          <t>Value</t>
        </is>
      </c>
      <c r="F8" s="3" t="n"/>
      <c r="G8" s="3" t="n"/>
    </row>
    <row r="9">
      <c r="A9" s="3" t="inlineStr">
        <is>
          <t>PA Power</t>
        </is>
      </c>
      <c r="B9" s="3" t="inlineStr">
        <is>
          <t>PPA</t>
        </is>
      </c>
      <c r="C9" s="3" t="inlineStr">
        <is>
          <t>dBm</t>
        </is>
      </c>
      <c r="D9" s="3" t="inlineStr"/>
      <c r="E9" s="6" t="n">
        <v>17</v>
      </c>
      <c r="F9" s="3" t="n"/>
      <c r="G9" s="3" t="n"/>
    </row>
    <row r="10">
      <c r="A10" s="3" t="inlineStr">
        <is>
          <t>TX Match Loss</t>
        </is>
      </c>
      <c r="B10" s="3" t="inlineStr">
        <is>
          <t>LMatchT</t>
        </is>
      </c>
      <c r="C10" s="3" t="inlineStr">
        <is>
          <t>dB</t>
        </is>
      </c>
      <c r="D10" s="3" t="inlineStr"/>
      <c r="E10" s="6" t="n">
        <v>-0.5</v>
      </c>
      <c r="F10" s="3" t="n"/>
      <c r="G10" s="3" t="n"/>
    </row>
    <row r="11">
      <c r="A11" s="3" t="inlineStr">
        <is>
          <t>TX source</t>
        </is>
      </c>
      <c r="B11" s="3" t="inlineStr">
        <is>
          <t>PTX</t>
        </is>
      </c>
      <c r="C11" s="3" t="inlineStr">
        <is>
          <t>dBm</t>
        </is>
      </c>
      <c r="D11" s="3" t="inlineStr">
        <is>
          <t>PTX = PPA + LMatchT</t>
        </is>
      </c>
      <c r="E11" s="7">
        <f>E9+E10</f>
        <v/>
      </c>
      <c r="F11" s="3" t="n"/>
      <c r="G11" s="3" t="n"/>
    </row>
    <row r="12">
      <c r="A12" s="3" t="inlineStr">
        <is>
          <t>TX connector loss</t>
        </is>
      </c>
      <c r="B12" s="3" t="inlineStr">
        <is>
          <t>LConT1</t>
        </is>
      </c>
      <c r="C12" s="3" t="inlineStr">
        <is>
          <t>dB</t>
        </is>
      </c>
      <c r="D12" s="3" t="inlineStr">
        <is>
          <t>(from Connector Loss sheet)</t>
        </is>
      </c>
      <c r="E12" s="6" t="n">
        <v>0</v>
      </c>
      <c r="F12" s="3" t="n"/>
      <c r="G12" s="3" t="n"/>
    </row>
    <row r="13">
      <c r="A13" s="3" t="inlineStr">
        <is>
          <t>TX cable loss</t>
        </is>
      </c>
      <c r="B13" s="3" t="inlineStr">
        <is>
          <t>LCabT</t>
        </is>
      </c>
      <c r="C13" s="3" t="inlineStr">
        <is>
          <t>dB</t>
        </is>
      </c>
      <c r="D13" s="3" t="inlineStr">
        <is>
          <t>(from Cable Loss sheet)</t>
        </is>
      </c>
      <c r="E13" s="6" t="n"/>
      <c r="F13" s="3" t="n"/>
      <c r="G13" s="3" t="n"/>
    </row>
    <row r="14">
      <c r="A14" s="3" t="inlineStr">
        <is>
          <t>TX connector loss (remote antenna)</t>
        </is>
      </c>
      <c r="B14" s="3" t="inlineStr">
        <is>
          <t>LConT2</t>
        </is>
      </c>
      <c r="C14" s="3" t="inlineStr">
        <is>
          <t>dB</t>
        </is>
      </c>
      <c r="D14" s="3" t="inlineStr">
        <is>
          <t>(from Connector Loss sheet)</t>
        </is>
      </c>
      <c r="E14" s="6" t="n"/>
      <c r="F14" s="3" t="n"/>
      <c r="G14" s="3" t="n"/>
    </row>
    <row r="15">
      <c r="A15" s="3" t="inlineStr">
        <is>
          <t>TX power</t>
        </is>
      </c>
      <c r="B15" s="3" t="inlineStr">
        <is>
          <t>PT</t>
        </is>
      </c>
      <c r="C15" s="3" t="inlineStr">
        <is>
          <t>dBm</t>
        </is>
      </c>
      <c r="D15" s="3" t="inlineStr">
        <is>
          <t>PT = PTX + (C&amp;C Loss)</t>
        </is>
      </c>
      <c r="E15" s="7">
        <f>E11+E12+E13+E14</f>
        <v/>
      </c>
      <c r="F15" s="3" t="n"/>
      <c r="G15" s="3" t="n"/>
    </row>
    <row r="16">
      <c r="A16" s="3" t="inlineStr">
        <is>
          <t>TX antenna gain</t>
        </is>
      </c>
      <c r="B16" s="3" t="inlineStr">
        <is>
          <t>GT</t>
        </is>
      </c>
      <c r="C16" s="3" t="inlineStr">
        <is>
          <t>dBi</t>
        </is>
      </c>
      <c r="D16" s="3" t="inlineStr"/>
      <c r="E16" s="12" t="n">
        <v>0</v>
      </c>
      <c r="F16" s="3" t="n"/>
      <c r="G16" s="3" t="n"/>
    </row>
    <row r="17">
      <c r="A17" s="3" t="inlineStr">
        <is>
          <t>Effective (Isotropic) Radiated Power</t>
        </is>
      </c>
      <c r="B17" s="3" t="inlineStr">
        <is>
          <t>EIRP</t>
        </is>
      </c>
      <c r="C17" s="3" t="inlineStr">
        <is>
          <t>dBm</t>
        </is>
      </c>
      <c r="D17" s="3" t="inlineStr">
        <is>
          <t>EIRP = PT + GT</t>
        </is>
      </c>
      <c r="E17" s="7">
        <f>E15+E16</f>
        <v/>
      </c>
      <c r="F17" s="3" t="n"/>
      <c r="G17" s="3" t="n"/>
    </row>
    <row r="18">
      <c r="A18" s="3" t="inlineStr">
        <is>
          <t>Distance</t>
        </is>
      </c>
      <c r="B18" s="3" t="inlineStr">
        <is>
          <t>d</t>
        </is>
      </c>
      <c r="C18" s="3" t="inlineStr">
        <is>
          <t>m</t>
        </is>
      </c>
      <c r="D18" s="3" t="inlineStr"/>
      <c r="E18" s="6" t="n">
        <v>70</v>
      </c>
      <c r="F18" s="3" t="n"/>
      <c r="G18" s="3" t="n"/>
    </row>
    <row r="19">
      <c r="A19" s="3" t="inlineStr">
        <is>
          <t>Channel Medium Loss Factor</t>
        </is>
      </c>
      <c r="B19" s="3" t="inlineStr">
        <is>
          <t>L0</t>
        </is>
      </c>
      <c r="C19" s="3" t="inlineStr">
        <is>
          <t>dB</t>
        </is>
      </c>
      <c r="D19" s="3" t="inlineStr">
        <is>
          <t>(from Medium Loss sheet)</t>
        </is>
      </c>
      <c r="E19" s="12" t="n">
        <v>-1</v>
      </c>
      <c r="F19" s="3" t="n"/>
      <c r="G19" s="3" t="n"/>
    </row>
    <row r="20">
      <c r="A20" s="3" t="inlineStr">
        <is>
          <t>Free Space Loss</t>
        </is>
      </c>
      <c r="B20" s="3" t="inlineStr">
        <is>
          <t>LFS</t>
        </is>
      </c>
      <c r="C20" s="3" t="inlineStr">
        <is>
          <t>dB</t>
        </is>
      </c>
      <c r="D20" s="3" t="inlineStr">
        <is>
          <t>LFS = (λ/4πd)²</t>
        </is>
      </c>
      <c r="E20" s="7">
        <f>20*LOG10(E5/(4*PI()*E18))</f>
        <v/>
      </c>
      <c r="F20" s="3" t="n"/>
      <c r="G20" s="3" t="n"/>
    </row>
    <row r="21">
      <c r="A21" s="3" t="inlineStr">
        <is>
          <t>Power at RX Antenna, Free Space Path</t>
        </is>
      </c>
      <c r="B21" s="3" t="inlineStr">
        <is>
          <t>PChanFS</t>
        </is>
      </c>
      <c r="C21" s="3" t="inlineStr">
        <is>
          <t>dB</t>
        </is>
      </c>
      <c r="D21" s="3" t="inlineStr">
        <is>
          <t>PChanFS = LFS + L0 + EIRP</t>
        </is>
      </c>
      <c r="E21" s="7">
        <f>E20+E19+E17</f>
        <v/>
      </c>
      <c r="F21" s="3" t="n"/>
      <c r="G21" s="3" t="n"/>
    </row>
    <row r="22">
      <c r="A22" s="3" t="inlineStr">
        <is>
          <t>Flat Earth Loss (Includes Ground Bounce)</t>
        </is>
      </c>
      <c r="B22" s="3" t="inlineStr">
        <is>
          <t>LFE</t>
        </is>
      </c>
      <c r="C22" s="3" t="inlineStr">
        <is>
          <t>dB</t>
        </is>
      </c>
      <c r="D22" s="3" t="inlineStr">
        <is>
          <t>(from Ground Multipath block, row 59)</t>
        </is>
      </c>
      <c r="E22" s="7">
        <f>E59</f>
        <v/>
      </c>
      <c r="F22" s="3" t="n"/>
      <c r="G22" s="3" t="n"/>
    </row>
    <row r="23">
      <c r="A23" s="3" t="inlineStr">
        <is>
          <t>Multipath Loss</t>
        </is>
      </c>
      <c r="B23" s="3" t="inlineStr">
        <is>
          <t>LMP</t>
        </is>
      </c>
      <c r="C23" s="3" t="inlineStr">
        <is>
          <t>dB</t>
        </is>
      </c>
      <c r="D23" s="3" t="inlineStr"/>
      <c r="E23" s="6" t="n">
        <v>0</v>
      </c>
      <c r="F23" s="3" t="n"/>
      <c r="G23" s="3" t="n"/>
    </row>
    <row r="24">
      <c r="A24" s="3" t="inlineStr">
        <is>
          <t>Obstruction Loss</t>
        </is>
      </c>
      <c r="B24" s="3" t="inlineStr">
        <is>
          <t>LObs-Total</t>
        </is>
      </c>
      <c r="C24" s="3" t="inlineStr">
        <is>
          <t>dB</t>
        </is>
      </c>
      <c r="D24" s="3" t="inlineStr"/>
      <c r="E24" s="6" t="n">
        <v>0</v>
      </c>
      <c r="F24" s="3" t="n"/>
      <c r="G24" s="3" t="n"/>
    </row>
    <row r="25">
      <c r="A25" s="3" t="inlineStr">
        <is>
          <t>Power at RX Antenna, Flat Earth Path</t>
        </is>
      </c>
      <c r="B25" s="3" t="inlineStr">
        <is>
          <t>PChanFE</t>
        </is>
      </c>
      <c r="C25" s="3" t="inlineStr">
        <is>
          <t>dB</t>
        </is>
      </c>
      <c r="D25" s="3" t="inlineStr">
        <is>
          <t>PChanFE = LFE + L0 + LMP + LObs + EIRP</t>
        </is>
      </c>
      <c r="E25" s="7">
        <f>E22+E19+E23+E24+E17</f>
        <v/>
      </c>
      <c r="F25" s="3" t="n"/>
      <c r="G25" s="3" t="n"/>
    </row>
    <row r="26">
      <c r="A26" s="3" t="inlineStr">
        <is>
          <t>RX antenna gain</t>
        </is>
      </c>
      <c r="B26" s="3" t="inlineStr">
        <is>
          <t>GR</t>
        </is>
      </c>
      <c r="C26" s="3" t="inlineStr">
        <is>
          <t>dBi</t>
        </is>
      </c>
      <c r="D26" s="3" t="inlineStr"/>
      <c r="E26" s="12" t="n">
        <v>0</v>
      </c>
      <c r="F26" s="3" t="n"/>
      <c r="G26" s="3" t="n"/>
    </row>
    <row r="27">
      <c r="A27" s="3" t="inlineStr">
        <is>
          <t>RX connector loss</t>
        </is>
      </c>
      <c r="B27" s="3" t="inlineStr">
        <is>
          <t>LConR1</t>
        </is>
      </c>
      <c r="C27" s="3" t="inlineStr">
        <is>
          <t>dB</t>
        </is>
      </c>
      <c r="D27" s="3" t="inlineStr"/>
      <c r="E27" s="6" t="n">
        <v>0</v>
      </c>
      <c r="F27" s="3" t="n"/>
      <c r="G27" s="3" t="n"/>
    </row>
    <row r="28">
      <c r="A28" s="3" t="inlineStr">
        <is>
          <t>RX cable loss</t>
        </is>
      </c>
      <c r="B28" s="3" t="inlineStr">
        <is>
          <t>LCabR</t>
        </is>
      </c>
      <c r="C28" s="3" t="inlineStr">
        <is>
          <t>dB</t>
        </is>
      </c>
      <c r="D28" s="3" t="inlineStr"/>
      <c r="E28" s="6" t="n"/>
      <c r="F28" s="3" t="n"/>
      <c r="G28" s="3" t="n"/>
    </row>
    <row r="29">
      <c r="A29" s="3" t="inlineStr">
        <is>
          <t>RX connector loss (remote antenna)</t>
        </is>
      </c>
      <c r="B29" s="3" t="inlineStr">
        <is>
          <t>LConR2</t>
        </is>
      </c>
      <c r="C29" s="3" t="inlineStr">
        <is>
          <t>dB</t>
        </is>
      </c>
      <c r="D29" s="3" t="inlineStr"/>
      <c r="E29" s="6" t="n"/>
      <c r="F29" s="3" t="n"/>
      <c r="G29" s="3" t="n"/>
    </row>
    <row r="30">
      <c r="A30" s="3" t="inlineStr">
        <is>
          <t>RX power, Free Space Path</t>
        </is>
      </c>
      <c r="B30" s="3" t="inlineStr">
        <is>
          <t>PRFS</t>
        </is>
      </c>
      <c r="C30" s="3" t="inlineStr">
        <is>
          <t>dBm</t>
        </is>
      </c>
      <c r="D30" s="3" t="inlineStr">
        <is>
          <t>PRFS = PChanFS + GR + (C&amp;C Loss)</t>
        </is>
      </c>
      <c r="E30" s="7">
        <f>E21+E26+E27+E28+E29</f>
        <v/>
      </c>
      <c r="F30" s="3" t="n"/>
      <c r="G30" s="3" t="n"/>
    </row>
    <row r="31">
      <c r="A31" s="3" t="inlineStr">
        <is>
          <t>RX power, Flat Earth Path</t>
        </is>
      </c>
      <c r="B31" s="3" t="inlineStr">
        <is>
          <t>PRFE</t>
        </is>
      </c>
      <c r="C31" s="3" t="inlineStr">
        <is>
          <t>dBm</t>
        </is>
      </c>
      <c r="D31" s="3" t="inlineStr">
        <is>
          <t>PRFE = PChanFE + GR + (C&amp;C Loss)</t>
        </is>
      </c>
      <c r="E31" s="7">
        <f>E25+E26+E27+E28+E29</f>
        <v/>
      </c>
      <c r="F31" s="3" t="n"/>
      <c r="G31" s="13" t="n">
        <v>-100</v>
      </c>
    </row>
    <row r="32">
      <c r="A32" s="3" t="n"/>
      <c r="B32" s="3" t="n"/>
      <c r="C32" s="3" t="n"/>
      <c r="D32" s="3" t="n"/>
      <c r="E32" s="3" t="n"/>
      <c r="F32" s="5" t="inlineStr">
        <is>
          <t>Sensitivity of Rx</t>
        </is>
      </c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5" t="inlineStr">
        <is>
          <t>Receiver Sensitivity Calculations</t>
        </is>
      </c>
      <c r="B35" s="5" t="inlineStr">
        <is>
          <t>Variable</t>
        </is>
      </c>
      <c r="C35" s="5" t="inlineStr">
        <is>
          <t>Units</t>
        </is>
      </c>
      <c r="D35" s="5" t="inlineStr">
        <is>
          <t>Equation</t>
        </is>
      </c>
      <c r="E35" s="5" t="inlineStr">
        <is>
          <t>Value</t>
        </is>
      </c>
      <c r="F35" s="3" t="n"/>
      <c r="G35" s="3" t="n"/>
    </row>
    <row r="36">
      <c r="A36" s="3" t="inlineStr">
        <is>
          <t>RX Noise Figure</t>
        </is>
      </c>
      <c r="B36" s="3" t="inlineStr">
        <is>
          <t>NF</t>
        </is>
      </c>
      <c r="C36" s="3" t="inlineStr">
        <is>
          <t>dB</t>
        </is>
      </c>
      <c r="D36" s="3" t="inlineStr"/>
      <c r="E36" s="12" t="n">
        <v>7</v>
      </c>
      <c r="F36" s="3" t="n"/>
      <c r="G36" s="3" t="n"/>
    </row>
    <row r="37">
      <c r="A37" s="3" t="inlineStr">
        <is>
          <t>Operating Temperature</t>
        </is>
      </c>
      <c r="B37" s="3" t="inlineStr">
        <is>
          <t>T0</t>
        </is>
      </c>
      <c r="C37" s="3" t="inlineStr">
        <is>
          <t>K</t>
        </is>
      </c>
      <c r="D37" s="3" t="inlineStr"/>
      <c r="E37" s="6" t="n">
        <v>290</v>
      </c>
      <c r="F37" s="3" t="n"/>
      <c r="G37" s="3" t="n"/>
    </row>
    <row r="38">
      <c r="A38" s="3" t="inlineStr">
        <is>
          <t>Effective Noise Temperature</t>
        </is>
      </c>
      <c r="B38" s="3" t="inlineStr">
        <is>
          <t>Te</t>
        </is>
      </c>
      <c r="C38" s="3" t="inlineStr">
        <is>
          <t>K</t>
        </is>
      </c>
      <c r="D38" s="3" t="inlineStr">
        <is>
          <t>Te = T0(NF - 1)</t>
        </is>
      </c>
      <c r="E38" s="7">
        <f>E37*(10^(E36/10)-1)</f>
        <v/>
      </c>
      <c r="F38" s="3" t="n"/>
      <c r="G38" s="3" t="n"/>
    </row>
    <row r="39">
      <c r="A39" s="3" t="inlineStr">
        <is>
          <t>Boltzmann's constant</t>
        </is>
      </c>
      <c r="B39" s="3" t="inlineStr">
        <is>
          <t>k</t>
        </is>
      </c>
      <c r="C39" s="3" t="inlineStr">
        <is>
          <t>J/K</t>
        </is>
      </c>
      <c r="D39" s="3" t="inlineStr"/>
      <c r="E39" s="9" t="n">
        <v>1.38e-23</v>
      </c>
      <c r="F39" s="3" t="n"/>
      <c r="G39" s="3" t="n"/>
    </row>
    <row r="40">
      <c r="A40" s="3" t="inlineStr">
        <is>
          <t>Receive Bandwidth</t>
        </is>
      </c>
      <c r="B40" s="3" t="inlineStr">
        <is>
          <t>BWRX</t>
        </is>
      </c>
      <c r="C40" s="3" t="inlineStr">
        <is>
          <t>MHz</t>
        </is>
      </c>
      <c r="D40" s="3" t="inlineStr"/>
      <c r="E40" s="12" t="n">
        <v>0.2</v>
      </c>
      <c r="F40" s="3" t="n"/>
      <c r="G40" s="3" t="n"/>
    </row>
    <row r="41">
      <c r="A41" s="3" t="inlineStr">
        <is>
          <t>Antenna Temperature</t>
        </is>
      </c>
      <c r="B41" s="3" t="inlineStr">
        <is>
          <t>TAnt</t>
        </is>
      </c>
      <c r="C41" s="3" t="inlineStr">
        <is>
          <t>K</t>
        </is>
      </c>
      <c r="D41" s="3" t="inlineStr"/>
      <c r="E41" s="6" t="n">
        <v>300</v>
      </c>
      <c r="F41" s="3" t="n"/>
      <c r="G41" s="3" t="n"/>
    </row>
    <row r="42">
      <c r="A42" s="3" t="inlineStr">
        <is>
          <t>Noise Power (at RX)</t>
        </is>
      </c>
      <c r="B42" s="3" t="inlineStr">
        <is>
          <t>Pn</t>
        </is>
      </c>
      <c r="C42" s="3" t="inlineStr">
        <is>
          <t>dBm</t>
        </is>
      </c>
      <c r="D42" s="3" t="inlineStr">
        <is>
          <t>Pn = k(TAnt + Te)BWRX</t>
        </is>
      </c>
      <c r="E42" s="7">
        <f>10*LOG10(E39*(E41+E38)*E40*1000000)+30</f>
        <v/>
      </c>
      <c r="F42" s="3" t="n"/>
      <c r="G42" s="3" t="n"/>
    </row>
    <row r="43">
      <c r="A43" s="3" t="inlineStr">
        <is>
          <t>Signal to Noise Ratio</t>
        </is>
      </c>
      <c r="B43" s="3" t="inlineStr">
        <is>
          <t>SNRRX</t>
        </is>
      </c>
      <c r="C43" s="3" t="inlineStr">
        <is>
          <t>dB</t>
        </is>
      </c>
      <c r="D43" s="3" t="inlineStr">
        <is>
          <t>SNRRX = PRX/Pn  (course: sensitivity G31 over Pn)</t>
        </is>
      </c>
      <c r="E43" s="7">
        <f>G31-E42</f>
        <v/>
      </c>
      <c r="F43" s="3" t="n"/>
      <c r="G43" s="3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5" t="inlineStr">
        <is>
          <t>Ground Reflection Path Loss (course 'Ground Multipath' sheet, inlined here)</t>
        </is>
      </c>
      <c r="B46" s="3" t="n"/>
      <c r="C46" s="3" t="n"/>
      <c r="D46" s="3" t="n"/>
      <c r="E46" s="3" t="n"/>
      <c r="F46" s="3" t="n"/>
      <c r="G46" s="3" t="n"/>
    </row>
    <row r="47">
      <c r="A47" s="5" t="inlineStr">
        <is>
          <t>Block</t>
        </is>
      </c>
      <c r="B47" s="5" t="inlineStr">
        <is>
          <t>Variable</t>
        </is>
      </c>
      <c r="C47" s="5" t="inlineStr">
        <is>
          <t>Units</t>
        </is>
      </c>
      <c r="D47" s="5" t="inlineStr">
        <is>
          <t>Equation</t>
        </is>
      </c>
      <c r="E47" s="5" t="inlineStr">
        <is>
          <t>Value</t>
        </is>
      </c>
      <c r="F47" s="3" t="n"/>
      <c r="G47" s="3" t="n"/>
    </row>
    <row r="48">
      <c r="A48" s="3" t="inlineStr">
        <is>
          <t>TX height</t>
        </is>
      </c>
      <c r="B48" s="3" t="inlineStr">
        <is>
          <t>hTX</t>
        </is>
      </c>
      <c r="C48" s="3" t="inlineStr">
        <is>
          <t>m</t>
        </is>
      </c>
      <c r="D48" s="3" t="inlineStr"/>
      <c r="E48" s="12" t="n">
        <v>0.75</v>
      </c>
      <c r="F48" s="3" t="n"/>
      <c r="G48" s="3" t="n"/>
    </row>
    <row r="49">
      <c r="A49" s="3" t="inlineStr">
        <is>
          <t>RX height</t>
        </is>
      </c>
      <c r="B49" s="3" t="inlineStr">
        <is>
          <t>hRX</t>
        </is>
      </c>
      <c r="C49" s="3" t="inlineStr">
        <is>
          <t>m</t>
        </is>
      </c>
      <c r="D49" s="3" t="inlineStr"/>
      <c r="E49" s="12" t="n">
        <v>0.75</v>
      </c>
      <c r="F49" s="3" t="n"/>
      <c r="G49" s="3" t="n"/>
    </row>
    <row r="50">
      <c r="A50" s="3" t="inlineStr">
        <is>
          <t>Distance</t>
        </is>
      </c>
      <c r="B50" s="3" t="inlineStr">
        <is>
          <t>d</t>
        </is>
      </c>
      <c r="C50" s="3" t="inlineStr">
        <is>
          <t>m</t>
        </is>
      </c>
      <c r="D50" s="3" t="inlineStr">
        <is>
          <t>(from Link Budget, row 18)</t>
        </is>
      </c>
      <c r="E50" s="7">
        <f>E18</f>
        <v/>
      </c>
      <c r="F50" s="3" t="n"/>
      <c r="G50" s="3" t="n"/>
    </row>
    <row r="51">
      <c r="A51" s="3" t="inlineStr">
        <is>
          <t>Direct Path</t>
        </is>
      </c>
      <c r="B51" s="3" t="inlineStr">
        <is>
          <t>d1</t>
        </is>
      </c>
      <c r="C51" s="3" t="inlineStr">
        <is>
          <t>m</t>
        </is>
      </c>
      <c r="D51" s="3" t="inlineStr">
        <is>
          <t>d1 = (d² + (hTX - hRX)²)^½</t>
        </is>
      </c>
      <c r="E51" s="7">
        <f>SQRT(E50^2+(E48-E49)^2)</f>
        <v/>
      </c>
      <c r="F51" s="3" t="n"/>
      <c r="G51" s="3" t="n"/>
    </row>
    <row r="52">
      <c r="A52" s="3" t="inlineStr">
        <is>
          <t>Reflection Path</t>
        </is>
      </c>
      <c r="B52" s="3" t="inlineStr">
        <is>
          <t>d2</t>
        </is>
      </c>
      <c r="C52" s="3" t="inlineStr">
        <is>
          <t>m</t>
        </is>
      </c>
      <c r="D52" s="3" t="inlineStr">
        <is>
          <t>d2 = (d² + (hTX + hRX)²)^½</t>
        </is>
      </c>
      <c r="E52" s="7">
        <f>SQRT(E50^2+(E48+E49)^2)</f>
        <v/>
      </c>
      <c r="F52" s="3" t="n"/>
      <c r="G52" s="3" t="n"/>
    </row>
    <row r="53">
      <c r="A53" s="3" t="inlineStr">
        <is>
          <t>Reflection Path Δ</t>
        </is>
      </c>
      <c r="B53" s="3" t="inlineStr">
        <is>
          <t>Δd</t>
        </is>
      </c>
      <c r="C53" s="3" t="inlineStr">
        <is>
          <t>m</t>
        </is>
      </c>
      <c r="D53" s="3" t="inlineStr">
        <is>
          <t>Δd = d2 - d1</t>
        </is>
      </c>
      <c r="E53" s="7">
        <f>E52-E51</f>
        <v/>
      </c>
      <c r="F53" s="3" t="n"/>
      <c r="G53" s="3" t="n"/>
    </row>
    <row r="54">
      <c r="A54" s="3" t="inlineStr">
        <is>
          <t>Estimated Reflection Path Δ</t>
        </is>
      </c>
      <c r="B54" s="3" t="inlineStr">
        <is>
          <t>Δde</t>
        </is>
      </c>
      <c r="C54" s="3" t="inlineStr">
        <is>
          <t>m</t>
        </is>
      </c>
      <c r="D54" s="3" t="inlineStr">
        <is>
          <t>Δde = 2·hTX·hRX/d</t>
        </is>
      </c>
      <c r="E54" s="7">
        <f>2*E48*E49/E50</f>
        <v/>
      </c>
      <c r="F54" s="3" t="n"/>
      <c r="G54" s="3" t="n"/>
    </row>
    <row r="55">
      <c r="A55" s="3" t="inlineStr">
        <is>
          <t>Wavelength</t>
        </is>
      </c>
      <c r="B55" s="3" t="inlineStr">
        <is>
          <t>λ</t>
        </is>
      </c>
      <c r="C55" s="3" t="inlineStr">
        <is>
          <t>m</t>
        </is>
      </c>
      <c r="D55" s="3" t="inlineStr">
        <is>
          <t>(from Link Budget, row 5)</t>
        </is>
      </c>
      <c r="E55" s="7">
        <f>E5</f>
        <v/>
      </c>
      <c r="F55" s="3" t="n"/>
      <c r="G55" s="3" t="n"/>
    </row>
    <row r="56">
      <c r="A56" s="3" t="inlineStr">
        <is>
          <t>Normalized Ground Bounce Amplitude</t>
        </is>
      </c>
      <c r="B56" s="3" t="inlineStr">
        <is>
          <t>a</t>
        </is>
      </c>
      <c r="C56" s="3" t="inlineStr">
        <is>
          <t>none</t>
        </is>
      </c>
      <c r="D56" s="3" t="inlineStr"/>
      <c r="E56" s="6" t="n">
        <v>1</v>
      </c>
      <c r="F56" s="3" t="n"/>
      <c r="G56" s="3" t="n"/>
    </row>
    <row r="57">
      <c r="A57" s="3" t="inlineStr">
        <is>
          <t>Loss From Ground Bounce Cancellation</t>
        </is>
      </c>
      <c r="B57" s="3" t="inlineStr">
        <is>
          <t>LGB</t>
        </is>
      </c>
      <c r="C57" s="3" t="inlineStr">
        <is>
          <t>dB</t>
        </is>
      </c>
      <c r="D57" s="3" t="inlineStr">
        <is>
          <t>LGB = 10log10(1 + a² - 2a|cos(2πΔd/λ)|)</t>
        </is>
      </c>
      <c r="E57" s="7">
        <f>10*LOG10(1+E56^2-2*E56*ABS(COS(2*PI()*E53/E55)))</f>
        <v/>
      </c>
      <c r="F57" s="3" t="n"/>
      <c r="G57" s="3" t="n"/>
    </row>
    <row r="58">
      <c r="A58" s="3" t="inlineStr">
        <is>
          <t>Free Space Loss</t>
        </is>
      </c>
      <c r="B58" s="3" t="inlineStr">
        <is>
          <t>LFS</t>
        </is>
      </c>
      <c r="C58" s="3" t="inlineStr">
        <is>
          <t>dB</t>
        </is>
      </c>
      <c r="D58" s="3" t="inlineStr">
        <is>
          <t>LFS = 10log10(λ/4πd)²</t>
        </is>
      </c>
      <c r="E58" s="7">
        <f>20*LOG10(E55/(4*PI()*E50))</f>
        <v/>
      </c>
      <c r="F58" s="3" t="n"/>
      <c r="G58" s="3" t="n"/>
    </row>
    <row r="59">
      <c r="A59" s="3" t="inlineStr">
        <is>
          <t>Flat Earth Loss</t>
        </is>
      </c>
      <c r="B59" s="3" t="inlineStr">
        <is>
          <t>LFE</t>
        </is>
      </c>
      <c r="C59" s="3" t="inlineStr">
        <is>
          <t>dB</t>
        </is>
      </c>
      <c r="D59" s="3" t="inlineStr">
        <is>
          <t>LFE = LGB + LFS</t>
        </is>
      </c>
      <c r="E59" s="7">
        <f>E57+E58</f>
        <v/>
      </c>
      <c r="F59" s="3" t="n"/>
      <c r="G59" s="3" t="n"/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5" t="inlineStr">
        <is>
          <t>Added by Team C (not in the course sheet)</t>
        </is>
      </c>
      <c r="B61" s="3" t="n"/>
      <c r="C61" s="3" t="n"/>
      <c r="D61" s="3" t="n"/>
      <c r="E61" s="3" t="n"/>
      <c r="F61" s="3" t="n"/>
      <c r="G61" s="3" t="n"/>
    </row>
    <row r="62">
      <c r="A62" s="5" t="inlineStr">
        <is>
          <t>Block</t>
        </is>
      </c>
      <c r="B62" s="5" t="inlineStr">
        <is>
          <t>Variable</t>
        </is>
      </c>
      <c r="C62" s="5" t="inlineStr">
        <is>
          <t>Units</t>
        </is>
      </c>
      <c r="D62" s="5" t="inlineStr">
        <is>
          <t>Equation</t>
        </is>
      </c>
      <c r="E62" s="5" t="inlineStr">
        <is>
          <t>Value</t>
        </is>
      </c>
      <c r="F62" s="3" t="n"/>
      <c r="G62" s="3" t="n"/>
    </row>
    <row r="63">
      <c r="A63" s="10" t="inlineStr">
        <is>
          <t>Link margin, flat earth</t>
        </is>
      </c>
      <c r="B63" s="10" t="inlineStr">
        <is>
          <t>M</t>
        </is>
      </c>
      <c r="C63" s="10" t="inlineStr">
        <is>
          <t>dB</t>
        </is>
      </c>
      <c r="D63" s="10" t="inlineStr">
        <is>
          <t>M = PRFE - Sensitivity</t>
        </is>
      </c>
      <c r="E63" s="11">
        <f>E31-G31</f>
        <v/>
      </c>
      <c r="F63" s="3" t="n"/>
      <c r="G63" s="3" t="n"/>
    </row>
    <row r="64">
      <c r="A64" s="10" t="inlineStr">
        <is>
          <t>Link margin with AN5142's -20 dB multipath</t>
        </is>
      </c>
      <c r="B64" s="10" t="inlineStr">
        <is>
          <t>M20</t>
        </is>
      </c>
      <c r="C64" s="10" t="inlineStr">
        <is>
          <t>dB</t>
        </is>
      </c>
      <c r="D64" s="10" t="inlineStr">
        <is>
          <t>M20 = M - 20</t>
        </is>
      </c>
      <c r="E64" s="11">
        <f>E63-20</f>
        <v/>
      </c>
      <c r="F64" s="3" t="n"/>
      <c r="G64" s="3" t="n"/>
    </row>
    <row r="65">
      <c r="A65" s="10" t="inlineStr">
        <is>
          <t>SNR at PRFE</t>
        </is>
      </c>
      <c r="B65" s="10" t="inlineStr">
        <is>
          <t>SNR</t>
        </is>
      </c>
      <c r="C65" s="10" t="inlineStr">
        <is>
          <t>dB</t>
        </is>
      </c>
      <c r="D65" s="10" t="inlineStr">
        <is>
          <t>SNR = PRFE - Pn</t>
        </is>
      </c>
      <c r="E65" s="11">
        <f>E31-E42</f>
        <v/>
      </c>
      <c r="F65" s="3" t="n"/>
      <c r="G65" s="3" t="n"/>
    </row>
    <row r="66">
      <c r="A66" s="10" t="inlineStr">
        <is>
          <t>Effective Radiated Power</t>
        </is>
      </c>
      <c r="B66" s="10" t="inlineStr">
        <is>
          <t>ERP</t>
        </is>
      </c>
      <c r="C66" s="10" t="inlineStr">
        <is>
          <t>dBm</t>
        </is>
      </c>
      <c r="D66" s="10" t="inlineStr">
        <is>
          <t>ERP = EIRP - 2.15</t>
        </is>
      </c>
      <c r="E66" s="11">
        <f>E17-2.15</f>
        <v/>
      </c>
      <c r="F66" s="3" t="n"/>
      <c r="G66" s="3" t="n"/>
    </row>
    <row r="67">
      <c r="A67" s="10" t="inlineStr">
        <is>
          <t>Regulatory limit (869.40-869.65 MHz: 500 mW e.r.p.)</t>
        </is>
      </c>
      <c r="B67" s="10" t="inlineStr">
        <is>
          <t>Plim</t>
        </is>
      </c>
      <c r="C67" s="10" t="inlineStr">
        <is>
          <t>dBm</t>
        </is>
      </c>
      <c r="D67" s="10" t="inlineStr">
        <is>
          <t>CNAF UN-39</t>
        </is>
      </c>
      <c r="E67" s="11" t="n">
        <v>27</v>
      </c>
      <c r="F67" s="3" t="n"/>
      <c r="G67" s="3" t="n"/>
    </row>
    <row r="68">
      <c r="A68" s="10" t="inlineStr">
        <is>
          <t>Regulatory check</t>
        </is>
      </c>
      <c r="B68" s="10" t="inlineStr"/>
      <c r="C68" s="10" t="inlineStr"/>
      <c r="D68" s="10" t="inlineStr">
        <is>
          <t>ERP &lt;= Plim</t>
        </is>
      </c>
      <c r="E68" s="11">
        <f>IF(E66&lt;=E67,"OK","OVER LIMIT")</f>
        <v/>
      </c>
      <c r="F68" s="3" t="n"/>
      <c r="G6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8" customWidth="1" min="3" max="3"/>
    <col width="48" customWidth="1" min="4" max="4"/>
    <col width="14" customWidth="1" min="5" max="5"/>
    <col width="14" customWidth="1" min="7" max="7"/>
  </cols>
  <sheetData>
    <row r="1">
      <c r="A1" s="2" t="inlineStr">
        <is>
          <t>RF System (Link Budget) Calculations</t>
        </is>
      </c>
      <c r="B1" s="3" t="n"/>
      <c r="C1" s="3" t="n"/>
      <c r="D1" s="3" t="n"/>
      <c r="E1" s="3" t="n"/>
      <c r="F1" s="3" t="n"/>
      <c r="G1" s="4" t="inlineStr">
        <is>
          <t>Team C baseline, MRM distance (~260 m per the rules).</t>
        </is>
      </c>
    </row>
    <row r="2">
      <c r="A2" s="5" t="inlineStr">
        <is>
          <t>System Variables</t>
        </is>
      </c>
      <c r="B2" s="5" t="inlineStr">
        <is>
          <t>Variable</t>
        </is>
      </c>
      <c r="C2" s="5" t="inlineStr">
        <is>
          <t>Units</t>
        </is>
      </c>
      <c r="D2" s="5" t="inlineStr">
        <is>
          <t>Equation</t>
        </is>
      </c>
      <c r="E2" s="5" t="inlineStr">
        <is>
          <t>Value</t>
        </is>
      </c>
      <c r="F2" s="3" t="n"/>
      <c r="G2" s="3" t="n"/>
    </row>
    <row r="3">
      <c r="A3" s="3" t="inlineStr">
        <is>
          <t>Frequency</t>
        </is>
      </c>
      <c r="B3" s="3" t="inlineStr">
        <is>
          <t>f0</t>
        </is>
      </c>
      <c r="C3" s="3" t="inlineStr">
        <is>
          <t>MHz</t>
        </is>
      </c>
      <c r="D3" s="3" t="inlineStr"/>
      <c r="E3" s="6" t="n">
        <v>869.525</v>
      </c>
      <c r="F3" s="3" t="n"/>
      <c r="G3" s="3" t="n"/>
    </row>
    <row r="4">
      <c r="A4" s="3" t="inlineStr">
        <is>
          <t>Speed of Light</t>
        </is>
      </c>
      <c r="B4" s="3" t="inlineStr">
        <is>
          <t>c</t>
        </is>
      </c>
      <c r="C4" s="3" t="inlineStr">
        <is>
          <t>m/s</t>
        </is>
      </c>
      <c r="D4" s="3" t="inlineStr"/>
      <c r="E4" s="7" t="n">
        <v>299792458</v>
      </c>
      <c r="F4" s="3" t="n"/>
      <c r="G4" s="3" t="n"/>
    </row>
    <row r="5">
      <c r="A5" s="3" t="inlineStr">
        <is>
          <t>Wavelength</t>
        </is>
      </c>
      <c r="B5" s="3" t="inlineStr">
        <is>
          <t>λ</t>
        </is>
      </c>
      <c r="C5" s="3" t="inlineStr">
        <is>
          <t>m</t>
        </is>
      </c>
      <c r="D5" s="3" t="inlineStr">
        <is>
          <t>λ = c/f0</t>
        </is>
      </c>
      <c r="E5" s="7">
        <f>E4/(E3*1000000)</f>
        <v/>
      </c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5" t="inlineStr">
        <is>
          <t>Block</t>
        </is>
      </c>
      <c r="B8" s="5" t="inlineStr">
        <is>
          <t>Variable</t>
        </is>
      </c>
      <c r="C8" s="5" t="inlineStr">
        <is>
          <t>Units</t>
        </is>
      </c>
      <c r="D8" s="5" t="inlineStr">
        <is>
          <t>Equation</t>
        </is>
      </c>
      <c r="E8" s="5" t="inlineStr">
        <is>
          <t>Value</t>
        </is>
      </c>
      <c r="F8" s="3" t="n"/>
      <c r="G8" s="3" t="n"/>
    </row>
    <row r="9">
      <c r="A9" s="3" t="inlineStr">
        <is>
          <t>PA Power</t>
        </is>
      </c>
      <c r="B9" s="3" t="inlineStr">
        <is>
          <t>PPA</t>
        </is>
      </c>
      <c r="C9" s="3" t="inlineStr">
        <is>
          <t>dBm</t>
        </is>
      </c>
      <c r="D9" s="3" t="inlineStr"/>
      <c r="E9" s="6" t="n">
        <v>17</v>
      </c>
      <c r="F9" s="3" t="n"/>
      <c r="G9" s="3" t="n"/>
    </row>
    <row r="10">
      <c r="A10" s="3" t="inlineStr">
        <is>
          <t>TX Match Loss</t>
        </is>
      </c>
      <c r="B10" s="3" t="inlineStr">
        <is>
          <t>LMatchT</t>
        </is>
      </c>
      <c r="C10" s="3" t="inlineStr">
        <is>
          <t>dB</t>
        </is>
      </c>
      <c r="D10" s="3" t="inlineStr"/>
      <c r="E10" s="6" t="n">
        <v>-0.5</v>
      </c>
      <c r="F10" s="3" t="n"/>
      <c r="G10" s="3" t="n"/>
    </row>
    <row r="11">
      <c r="A11" s="3" t="inlineStr">
        <is>
          <t>TX source</t>
        </is>
      </c>
      <c r="B11" s="3" t="inlineStr">
        <is>
          <t>PTX</t>
        </is>
      </c>
      <c r="C11" s="3" t="inlineStr">
        <is>
          <t>dBm</t>
        </is>
      </c>
      <c r="D11" s="3" t="inlineStr">
        <is>
          <t>PTX = PPA + LMatchT</t>
        </is>
      </c>
      <c r="E11" s="7">
        <f>E9+E10</f>
        <v/>
      </c>
      <c r="F11" s="3" t="n"/>
      <c r="G11" s="3" t="n"/>
    </row>
    <row r="12">
      <c r="A12" s="3" t="inlineStr">
        <is>
          <t>TX connector loss</t>
        </is>
      </c>
      <c r="B12" s="3" t="inlineStr">
        <is>
          <t>LConT1</t>
        </is>
      </c>
      <c r="C12" s="3" t="inlineStr">
        <is>
          <t>dB</t>
        </is>
      </c>
      <c r="D12" s="3" t="inlineStr">
        <is>
          <t>(from Connector Loss sheet)</t>
        </is>
      </c>
      <c r="E12" s="6" t="n">
        <v>0</v>
      </c>
      <c r="F12" s="3" t="n"/>
      <c r="G12" s="3" t="n"/>
    </row>
    <row r="13">
      <c r="A13" s="3" t="inlineStr">
        <is>
          <t>TX cable loss</t>
        </is>
      </c>
      <c r="B13" s="3" t="inlineStr">
        <is>
          <t>LCabT</t>
        </is>
      </c>
      <c r="C13" s="3" t="inlineStr">
        <is>
          <t>dB</t>
        </is>
      </c>
      <c r="D13" s="3" t="inlineStr">
        <is>
          <t>(from Cable Loss sheet)</t>
        </is>
      </c>
      <c r="E13" s="6" t="n"/>
      <c r="F13" s="3" t="n"/>
      <c r="G13" s="3" t="n"/>
    </row>
    <row r="14">
      <c r="A14" s="3" t="inlineStr">
        <is>
          <t>TX connector loss (remote antenna)</t>
        </is>
      </c>
      <c r="B14" s="3" t="inlineStr">
        <is>
          <t>LConT2</t>
        </is>
      </c>
      <c r="C14" s="3" t="inlineStr">
        <is>
          <t>dB</t>
        </is>
      </c>
      <c r="D14" s="3" t="inlineStr">
        <is>
          <t>(from Connector Loss sheet)</t>
        </is>
      </c>
      <c r="E14" s="6" t="n"/>
      <c r="F14" s="3" t="n"/>
      <c r="G14" s="3" t="n"/>
    </row>
    <row r="15">
      <c r="A15" s="3" t="inlineStr">
        <is>
          <t>TX power</t>
        </is>
      </c>
      <c r="B15" s="3" t="inlineStr">
        <is>
          <t>PT</t>
        </is>
      </c>
      <c r="C15" s="3" t="inlineStr">
        <is>
          <t>dBm</t>
        </is>
      </c>
      <c r="D15" s="3" t="inlineStr">
        <is>
          <t>PT = PTX + (C&amp;C Loss)</t>
        </is>
      </c>
      <c r="E15" s="7">
        <f>E11+E12+E13+E14</f>
        <v/>
      </c>
      <c r="F15" s="3" t="n"/>
      <c r="G15" s="3" t="n"/>
    </row>
    <row r="16">
      <c r="A16" s="3" t="inlineStr">
        <is>
          <t>TX antenna gain</t>
        </is>
      </c>
      <c r="B16" s="3" t="inlineStr">
        <is>
          <t>GT</t>
        </is>
      </c>
      <c r="C16" s="3" t="inlineStr">
        <is>
          <t>dBi</t>
        </is>
      </c>
      <c r="D16" s="3" t="inlineStr"/>
      <c r="E16" s="12" t="n">
        <v>0</v>
      </c>
      <c r="F16" s="3" t="n"/>
      <c r="G16" s="3" t="n"/>
    </row>
    <row r="17">
      <c r="A17" s="3" t="inlineStr">
        <is>
          <t>Effective (Isotropic) Radiated Power</t>
        </is>
      </c>
      <c r="B17" s="3" t="inlineStr">
        <is>
          <t>EIRP</t>
        </is>
      </c>
      <c r="C17" s="3" t="inlineStr">
        <is>
          <t>dBm</t>
        </is>
      </c>
      <c r="D17" s="3" t="inlineStr">
        <is>
          <t>EIRP = PT + GT</t>
        </is>
      </c>
      <c r="E17" s="7">
        <f>E15+E16</f>
        <v/>
      </c>
      <c r="F17" s="3" t="n"/>
      <c r="G17" s="3" t="n"/>
    </row>
    <row r="18">
      <c r="A18" s="3" t="inlineStr">
        <is>
          <t>Distance</t>
        </is>
      </c>
      <c r="B18" s="3" t="inlineStr">
        <is>
          <t>d</t>
        </is>
      </c>
      <c r="C18" s="3" t="inlineStr">
        <is>
          <t>m</t>
        </is>
      </c>
      <c r="D18" s="3" t="inlineStr"/>
      <c r="E18" s="6" t="n">
        <v>260</v>
      </c>
      <c r="F18" s="3" t="n"/>
      <c r="G18" s="3" t="n"/>
    </row>
    <row r="19">
      <c r="A19" s="3" t="inlineStr">
        <is>
          <t>Channel Medium Loss Factor</t>
        </is>
      </c>
      <c r="B19" s="3" t="inlineStr">
        <is>
          <t>L0</t>
        </is>
      </c>
      <c r="C19" s="3" t="inlineStr">
        <is>
          <t>dB</t>
        </is>
      </c>
      <c r="D19" s="3" t="inlineStr">
        <is>
          <t>(from Medium Loss sheet)</t>
        </is>
      </c>
      <c r="E19" s="12" t="n">
        <v>-1</v>
      </c>
      <c r="F19" s="3" t="n"/>
      <c r="G19" s="3" t="n"/>
    </row>
    <row r="20">
      <c r="A20" s="3" t="inlineStr">
        <is>
          <t>Free Space Loss</t>
        </is>
      </c>
      <c r="B20" s="3" t="inlineStr">
        <is>
          <t>LFS</t>
        </is>
      </c>
      <c r="C20" s="3" t="inlineStr">
        <is>
          <t>dB</t>
        </is>
      </c>
      <c r="D20" s="3" t="inlineStr">
        <is>
          <t>LFS = (λ/4πd)²</t>
        </is>
      </c>
      <c r="E20" s="7">
        <f>20*LOG10(E5/(4*PI()*E18))</f>
        <v/>
      </c>
      <c r="F20" s="3" t="n"/>
      <c r="G20" s="3" t="n"/>
    </row>
    <row r="21">
      <c r="A21" s="3" t="inlineStr">
        <is>
          <t>Power at RX Antenna, Free Space Path</t>
        </is>
      </c>
      <c r="B21" s="3" t="inlineStr">
        <is>
          <t>PChanFS</t>
        </is>
      </c>
      <c r="C21" s="3" t="inlineStr">
        <is>
          <t>dB</t>
        </is>
      </c>
      <c r="D21" s="3" t="inlineStr">
        <is>
          <t>PChanFS = LFS + L0 + EIRP</t>
        </is>
      </c>
      <c r="E21" s="7">
        <f>E20+E19+E17</f>
        <v/>
      </c>
      <c r="F21" s="3" t="n"/>
      <c r="G21" s="3" t="n"/>
    </row>
    <row r="22">
      <c r="A22" s="3" t="inlineStr">
        <is>
          <t>Flat Earth Loss (Includes Ground Bounce)</t>
        </is>
      </c>
      <c r="B22" s="3" t="inlineStr">
        <is>
          <t>LFE</t>
        </is>
      </c>
      <c r="C22" s="3" t="inlineStr">
        <is>
          <t>dB</t>
        </is>
      </c>
      <c r="D22" s="3" t="inlineStr">
        <is>
          <t>(from Ground Multipath block, row 59)</t>
        </is>
      </c>
      <c r="E22" s="7">
        <f>E59</f>
        <v/>
      </c>
      <c r="F22" s="3" t="n"/>
      <c r="G22" s="3" t="n"/>
    </row>
    <row r="23">
      <c r="A23" s="3" t="inlineStr">
        <is>
          <t>Multipath Loss</t>
        </is>
      </c>
      <c r="B23" s="3" t="inlineStr">
        <is>
          <t>LMP</t>
        </is>
      </c>
      <c r="C23" s="3" t="inlineStr">
        <is>
          <t>dB</t>
        </is>
      </c>
      <c r="D23" s="3" t="inlineStr"/>
      <c r="E23" s="6" t="n">
        <v>0</v>
      </c>
      <c r="F23" s="3" t="n"/>
      <c r="G23" s="3" t="n"/>
    </row>
    <row r="24">
      <c r="A24" s="3" t="inlineStr">
        <is>
          <t>Obstruction Loss</t>
        </is>
      </c>
      <c r="B24" s="3" t="inlineStr">
        <is>
          <t>LObs-Total</t>
        </is>
      </c>
      <c r="C24" s="3" t="inlineStr">
        <is>
          <t>dB</t>
        </is>
      </c>
      <c r="D24" s="3" t="inlineStr"/>
      <c r="E24" s="6" t="n">
        <v>0</v>
      </c>
      <c r="F24" s="3" t="n"/>
      <c r="G24" s="3" t="n"/>
    </row>
    <row r="25">
      <c r="A25" s="3" t="inlineStr">
        <is>
          <t>Power at RX Antenna, Flat Earth Path</t>
        </is>
      </c>
      <c r="B25" s="3" t="inlineStr">
        <is>
          <t>PChanFE</t>
        </is>
      </c>
      <c r="C25" s="3" t="inlineStr">
        <is>
          <t>dB</t>
        </is>
      </c>
      <c r="D25" s="3" t="inlineStr">
        <is>
          <t>PChanFE = LFE + L0 + LMP + LObs + EIRP</t>
        </is>
      </c>
      <c r="E25" s="7">
        <f>E22+E19+E23+E24+E17</f>
        <v/>
      </c>
      <c r="F25" s="3" t="n"/>
      <c r="G25" s="3" t="n"/>
    </row>
    <row r="26">
      <c r="A26" s="3" t="inlineStr">
        <is>
          <t>RX antenna gain</t>
        </is>
      </c>
      <c r="B26" s="3" t="inlineStr">
        <is>
          <t>GR</t>
        </is>
      </c>
      <c r="C26" s="3" t="inlineStr">
        <is>
          <t>dBi</t>
        </is>
      </c>
      <c r="D26" s="3" t="inlineStr"/>
      <c r="E26" s="12" t="n">
        <v>0</v>
      </c>
      <c r="F26" s="3" t="n"/>
      <c r="G26" s="3" t="n"/>
    </row>
    <row r="27">
      <c r="A27" s="3" t="inlineStr">
        <is>
          <t>RX connector loss</t>
        </is>
      </c>
      <c r="B27" s="3" t="inlineStr">
        <is>
          <t>LConR1</t>
        </is>
      </c>
      <c r="C27" s="3" t="inlineStr">
        <is>
          <t>dB</t>
        </is>
      </c>
      <c r="D27" s="3" t="inlineStr"/>
      <c r="E27" s="6" t="n">
        <v>0</v>
      </c>
      <c r="F27" s="3" t="n"/>
      <c r="G27" s="3" t="n"/>
    </row>
    <row r="28">
      <c r="A28" s="3" t="inlineStr">
        <is>
          <t>RX cable loss</t>
        </is>
      </c>
      <c r="B28" s="3" t="inlineStr">
        <is>
          <t>LCabR</t>
        </is>
      </c>
      <c r="C28" s="3" t="inlineStr">
        <is>
          <t>dB</t>
        </is>
      </c>
      <c r="D28" s="3" t="inlineStr"/>
      <c r="E28" s="6" t="n"/>
      <c r="F28" s="3" t="n"/>
      <c r="G28" s="3" t="n"/>
    </row>
    <row r="29">
      <c r="A29" s="3" t="inlineStr">
        <is>
          <t>RX connector loss (remote antenna)</t>
        </is>
      </c>
      <c r="B29" s="3" t="inlineStr">
        <is>
          <t>LConR2</t>
        </is>
      </c>
      <c r="C29" s="3" t="inlineStr">
        <is>
          <t>dB</t>
        </is>
      </c>
      <c r="D29" s="3" t="inlineStr"/>
      <c r="E29" s="6" t="n"/>
      <c r="F29" s="3" t="n"/>
      <c r="G29" s="3" t="n"/>
    </row>
    <row r="30">
      <c r="A30" s="3" t="inlineStr">
        <is>
          <t>RX power, Free Space Path</t>
        </is>
      </c>
      <c r="B30" s="3" t="inlineStr">
        <is>
          <t>PRFS</t>
        </is>
      </c>
      <c r="C30" s="3" t="inlineStr">
        <is>
          <t>dBm</t>
        </is>
      </c>
      <c r="D30" s="3" t="inlineStr">
        <is>
          <t>PRFS = PChanFS + GR + (C&amp;C Loss)</t>
        </is>
      </c>
      <c r="E30" s="7">
        <f>E21+E26+E27+E28+E29</f>
        <v/>
      </c>
      <c r="F30" s="3" t="n"/>
      <c r="G30" s="3" t="n"/>
    </row>
    <row r="31">
      <c r="A31" s="3" t="inlineStr">
        <is>
          <t>RX power, Flat Earth Path</t>
        </is>
      </c>
      <c r="B31" s="3" t="inlineStr">
        <is>
          <t>PRFE</t>
        </is>
      </c>
      <c r="C31" s="3" t="inlineStr">
        <is>
          <t>dBm</t>
        </is>
      </c>
      <c r="D31" s="3" t="inlineStr">
        <is>
          <t>PRFE = PChanFE + GR + (C&amp;C Loss)</t>
        </is>
      </c>
      <c r="E31" s="7">
        <f>E25+E26+E27+E28+E29</f>
        <v/>
      </c>
      <c r="F31" s="3" t="n"/>
      <c r="G31" s="13" t="n">
        <v>-100</v>
      </c>
    </row>
    <row r="32">
      <c r="A32" s="3" t="n"/>
      <c r="B32" s="3" t="n"/>
      <c r="C32" s="3" t="n"/>
      <c r="D32" s="3" t="n"/>
      <c r="E32" s="3" t="n"/>
      <c r="F32" s="5" t="inlineStr">
        <is>
          <t>Sensitivity of Rx</t>
        </is>
      </c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5" t="inlineStr">
        <is>
          <t>Receiver Sensitivity Calculations</t>
        </is>
      </c>
      <c r="B35" s="5" t="inlineStr">
        <is>
          <t>Variable</t>
        </is>
      </c>
      <c r="C35" s="5" t="inlineStr">
        <is>
          <t>Units</t>
        </is>
      </c>
      <c r="D35" s="5" t="inlineStr">
        <is>
          <t>Equation</t>
        </is>
      </c>
      <c r="E35" s="5" t="inlineStr">
        <is>
          <t>Value</t>
        </is>
      </c>
      <c r="F35" s="3" t="n"/>
      <c r="G35" s="3" t="n"/>
    </row>
    <row r="36">
      <c r="A36" s="3" t="inlineStr">
        <is>
          <t>RX Noise Figure</t>
        </is>
      </c>
      <c r="B36" s="3" t="inlineStr">
        <is>
          <t>NF</t>
        </is>
      </c>
      <c r="C36" s="3" t="inlineStr">
        <is>
          <t>dB</t>
        </is>
      </c>
      <c r="D36" s="3" t="inlineStr"/>
      <c r="E36" s="12" t="n">
        <v>7</v>
      </c>
      <c r="F36" s="3" t="n"/>
      <c r="G36" s="3" t="n"/>
    </row>
    <row r="37">
      <c r="A37" s="3" t="inlineStr">
        <is>
          <t>Operating Temperature</t>
        </is>
      </c>
      <c r="B37" s="3" t="inlineStr">
        <is>
          <t>T0</t>
        </is>
      </c>
      <c r="C37" s="3" t="inlineStr">
        <is>
          <t>K</t>
        </is>
      </c>
      <c r="D37" s="3" t="inlineStr"/>
      <c r="E37" s="6" t="n">
        <v>290</v>
      </c>
      <c r="F37" s="3" t="n"/>
      <c r="G37" s="3" t="n"/>
    </row>
    <row r="38">
      <c r="A38" s="3" t="inlineStr">
        <is>
          <t>Effective Noise Temperature</t>
        </is>
      </c>
      <c r="B38" s="3" t="inlineStr">
        <is>
          <t>Te</t>
        </is>
      </c>
      <c r="C38" s="3" t="inlineStr">
        <is>
          <t>K</t>
        </is>
      </c>
      <c r="D38" s="3" t="inlineStr">
        <is>
          <t>Te = T0(NF - 1)</t>
        </is>
      </c>
      <c r="E38" s="7">
        <f>E37*(10^(E36/10)-1)</f>
        <v/>
      </c>
      <c r="F38" s="3" t="n"/>
      <c r="G38" s="3" t="n"/>
    </row>
    <row r="39">
      <c r="A39" s="3" t="inlineStr">
        <is>
          <t>Boltzmann's constant</t>
        </is>
      </c>
      <c r="B39" s="3" t="inlineStr">
        <is>
          <t>k</t>
        </is>
      </c>
      <c r="C39" s="3" t="inlineStr">
        <is>
          <t>J/K</t>
        </is>
      </c>
      <c r="D39" s="3" t="inlineStr"/>
      <c r="E39" s="9" t="n">
        <v>1.38e-23</v>
      </c>
      <c r="F39" s="3" t="n"/>
      <c r="G39" s="3" t="n"/>
    </row>
    <row r="40">
      <c r="A40" s="3" t="inlineStr">
        <is>
          <t>Receive Bandwidth</t>
        </is>
      </c>
      <c r="B40" s="3" t="inlineStr">
        <is>
          <t>BWRX</t>
        </is>
      </c>
      <c r="C40" s="3" t="inlineStr">
        <is>
          <t>MHz</t>
        </is>
      </c>
      <c r="D40" s="3" t="inlineStr"/>
      <c r="E40" s="12" t="n">
        <v>0.2</v>
      </c>
      <c r="F40" s="3" t="n"/>
      <c r="G40" s="3" t="n"/>
    </row>
    <row r="41">
      <c r="A41" s="3" t="inlineStr">
        <is>
          <t>Antenna Temperature</t>
        </is>
      </c>
      <c r="B41" s="3" t="inlineStr">
        <is>
          <t>TAnt</t>
        </is>
      </c>
      <c r="C41" s="3" t="inlineStr">
        <is>
          <t>K</t>
        </is>
      </c>
      <c r="D41" s="3" t="inlineStr"/>
      <c r="E41" s="6" t="n">
        <v>300</v>
      </c>
      <c r="F41" s="3" t="n"/>
      <c r="G41" s="3" t="n"/>
    </row>
    <row r="42">
      <c r="A42" s="3" t="inlineStr">
        <is>
          <t>Noise Power (at RX)</t>
        </is>
      </c>
      <c r="B42" s="3" t="inlineStr">
        <is>
          <t>Pn</t>
        </is>
      </c>
      <c r="C42" s="3" t="inlineStr">
        <is>
          <t>dBm</t>
        </is>
      </c>
      <c r="D42" s="3" t="inlineStr">
        <is>
          <t>Pn = k(TAnt + Te)BWRX</t>
        </is>
      </c>
      <c r="E42" s="7">
        <f>10*LOG10(E39*(E41+E38)*E40*1000000)+30</f>
        <v/>
      </c>
      <c r="F42" s="3" t="n"/>
      <c r="G42" s="3" t="n"/>
    </row>
    <row r="43">
      <c r="A43" s="3" t="inlineStr">
        <is>
          <t>Signal to Noise Ratio</t>
        </is>
      </c>
      <c r="B43" s="3" t="inlineStr">
        <is>
          <t>SNRRX</t>
        </is>
      </c>
      <c r="C43" s="3" t="inlineStr">
        <is>
          <t>dB</t>
        </is>
      </c>
      <c r="D43" s="3" t="inlineStr">
        <is>
          <t>SNRRX = PRX/Pn  (course: sensitivity G31 over Pn)</t>
        </is>
      </c>
      <c r="E43" s="7">
        <f>G31-E42</f>
        <v/>
      </c>
      <c r="F43" s="3" t="n"/>
      <c r="G43" s="3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5" t="inlineStr">
        <is>
          <t>Ground Reflection Path Loss (course 'Ground Multipath' sheet, inlined here)</t>
        </is>
      </c>
      <c r="B46" s="3" t="n"/>
      <c r="C46" s="3" t="n"/>
      <c r="D46" s="3" t="n"/>
      <c r="E46" s="3" t="n"/>
      <c r="F46" s="3" t="n"/>
      <c r="G46" s="3" t="n"/>
    </row>
    <row r="47">
      <c r="A47" s="5" t="inlineStr">
        <is>
          <t>Block</t>
        </is>
      </c>
      <c r="B47" s="5" t="inlineStr">
        <is>
          <t>Variable</t>
        </is>
      </c>
      <c r="C47" s="5" t="inlineStr">
        <is>
          <t>Units</t>
        </is>
      </c>
      <c r="D47" s="5" t="inlineStr">
        <is>
          <t>Equation</t>
        </is>
      </c>
      <c r="E47" s="5" t="inlineStr">
        <is>
          <t>Value</t>
        </is>
      </c>
      <c r="F47" s="3" t="n"/>
      <c r="G47" s="3" t="n"/>
    </row>
    <row r="48">
      <c r="A48" s="3" t="inlineStr">
        <is>
          <t>TX height</t>
        </is>
      </c>
      <c r="B48" s="3" t="inlineStr">
        <is>
          <t>hTX</t>
        </is>
      </c>
      <c r="C48" s="3" t="inlineStr">
        <is>
          <t>m</t>
        </is>
      </c>
      <c r="D48" s="3" t="inlineStr"/>
      <c r="E48" s="12" t="n">
        <v>0.75</v>
      </c>
      <c r="F48" s="3" t="n"/>
      <c r="G48" s="3" t="n"/>
    </row>
    <row r="49">
      <c r="A49" s="3" t="inlineStr">
        <is>
          <t>RX height</t>
        </is>
      </c>
      <c r="B49" s="3" t="inlineStr">
        <is>
          <t>hRX</t>
        </is>
      </c>
      <c r="C49" s="3" t="inlineStr">
        <is>
          <t>m</t>
        </is>
      </c>
      <c r="D49" s="3" t="inlineStr"/>
      <c r="E49" s="12" t="n">
        <v>0.75</v>
      </c>
      <c r="F49" s="3" t="n"/>
      <c r="G49" s="3" t="n"/>
    </row>
    <row r="50">
      <c r="A50" s="3" t="inlineStr">
        <is>
          <t>Distance</t>
        </is>
      </c>
      <c r="B50" s="3" t="inlineStr">
        <is>
          <t>d</t>
        </is>
      </c>
      <c r="C50" s="3" t="inlineStr">
        <is>
          <t>m</t>
        </is>
      </c>
      <c r="D50" s="3" t="inlineStr">
        <is>
          <t>(from Link Budget, row 18)</t>
        </is>
      </c>
      <c r="E50" s="7">
        <f>E18</f>
        <v/>
      </c>
      <c r="F50" s="3" t="n"/>
      <c r="G50" s="3" t="n"/>
    </row>
    <row r="51">
      <c r="A51" s="3" t="inlineStr">
        <is>
          <t>Direct Path</t>
        </is>
      </c>
      <c r="B51" s="3" t="inlineStr">
        <is>
          <t>d1</t>
        </is>
      </c>
      <c r="C51" s="3" t="inlineStr">
        <is>
          <t>m</t>
        </is>
      </c>
      <c r="D51" s="3" t="inlineStr">
        <is>
          <t>d1 = (d² + (hTX - hRX)²)^½</t>
        </is>
      </c>
      <c r="E51" s="7">
        <f>SQRT(E50^2+(E48-E49)^2)</f>
        <v/>
      </c>
      <c r="F51" s="3" t="n"/>
      <c r="G51" s="3" t="n"/>
    </row>
    <row r="52">
      <c r="A52" s="3" t="inlineStr">
        <is>
          <t>Reflection Path</t>
        </is>
      </c>
      <c r="B52" s="3" t="inlineStr">
        <is>
          <t>d2</t>
        </is>
      </c>
      <c r="C52" s="3" t="inlineStr">
        <is>
          <t>m</t>
        </is>
      </c>
      <c r="D52" s="3" t="inlineStr">
        <is>
          <t>d2 = (d² + (hTX + hRX)²)^½</t>
        </is>
      </c>
      <c r="E52" s="7">
        <f>SQRT(E50^2+(E48+E49)^2)</f>
        <v/>
      </c>
      <c r="F52" s="3" t="n"/>
      <c r="G52" s="3" t="n"/>
    </row>
    <row r="53">
      <c r="A53" s="3" t="inlineStr">
        <is>
          <t>Reflection Path Δ</t>
        </is>
      </c>
      <c r="B53" s="3" t="inlineStr">
        <is>
          <t>Δd</t>
        </is>
      </c>
      <c r="C53" s="3" t="inlineStr">
        <is>
          <t>m</t>
        </is>
      </c>
      <c r="D53" s="3" t="inlineStr">
        <is>
          <t>Δd = d2 - d1</t>
        </is>
      </c>
      <c r="E53" s="7">
        <f>E52-E51</f>
        <v/>
      </c>
      <c r="F53" s="3" t="n"/>
      <c r="G53" s="3" t="n"/>
    </row>
    <row r="54">
      <c r="A54" s="3" t="inlineStr">
        <is>
          <t>Estimated Reflection Path Δ</t>
        </is>
      </c>
      <c r="B54" s="3" t="inlineStr">
        <is>
          <t>Δde</t>
        </is>
      </c>
      <c r="C54" s="3" t="inlineStr">
        <is>
          <t>m</t>
        </is>
      </c>
      <c r="D54" s="3" t="inlineStr">
        <is>
          <t>Δde = 2·hTX·hRX/d</t>
        </is>
      </c>
      <c r="E54" s="7">
        <f>2*E48*E49/E50</f>
        <v/>
      </c>
      <c r="F54" s="3" t="n"/>
      <c r="G54" s="3" t="n"/>
    </row>
    <row r="55">
      <c r="A55" s="3" t="inlineStr">
        <is>
          <t>Wavelength</t>
        </is>
      </c>
      <c r="B55" s="3" t="inlineStr">
        <is>
          <t>λ</t>
        </is>
      </c>
      <c r="C55" s="3" t="inlineStr">
        <is>
          <t>m</t>
        </is>
      </c>
      <c r="D55" s="3" t="inlineStr">
        <is>
          <t>(from Link Budget, row 5)</t>
        </is>
      </c>
      <c r="E55" s="7">
        <f>E5</f>
        <v/>
      </c>
      <c r="F55" s="3" t="n"/>
      <c r="G55" s="3" t="n"/>
    </row>
    <row r="56">
      <c r="A56" s="3" t="inlineStr">
        <is>
          <t>Normalized Ground Bounce Amplitude</t>
        </is>
      </c>
      <c r="B56" s="3" t="inlineStr">
        <is>
          <t>a</t>
        </is>
      </c>
      <c r="C56" s="3" t="inlineStr">
        <is>
          <t>none</t>
        </is>
      </c>
      <c r="D56" s="3" t="inlineStr"/>
      <c r="E56" s="6" t="n">
        <v>1</v>
      </c>
      <c r="F56" s="3" t="n"/>
      <c r="G56" s="3" t="n"/>
    </row>
    <row r="57">
      <c r="A57" s="3" t="inlineStr">
        <is>
          <t>Loss From Ground Bounce Cancellation</t>
        </is>
      </c>
      <c r="B57" s="3" t="inlineStr">
        <is>
          <t>LGB</t>
        </is>
      </c>
      <c r="C57" s="3" t="inlineStr">
        <is>
          <t>dB</t>
        </is>
      </c>
      <c r="D57" s="3" t="inlineStr">
        <is>
          <t>LGB = 10log10(1 + a² - 2a|cos(2πΔd/λ)|)</t>
        </is>
      </c>
      <c r="E57" s="7">
        <f>10*LOG10(1+E56^2-2*E56*ABS(COS(2*PI()*E53/E55)))</f>
        <v/>
      </c>
      <c r="F57" s="3" t="n"/>
      <c r="G57" s="3" t="n"/>
    </row>
    <row r="58">
      <c r="A58" s="3" t="inlineStr">
        <is>
          <t>Free Space Loss</t>
        </is>
      </c>
      <c r="B58" s="3" t="inlineStr">
        <is>
          <t>LFS</t>
        </is>
      </c>
      <c r="C58" s="3" t="inlineStr">
        <is>
          <t>dB</t>
        </is>
      </c>
      <c r="D58" s="3" t="inlineStr">
        <is>
          <t>LFS = 10log10(λ/4πd)²</t>
        </is>
      </c>
      <c r="E58" s="7">
        <f>20*LOG10(E55/(4*PI()*E50))</f>
        <v/>
      </c>
      <c r="F58" s="3" t="n"/>
      <c r="G58" s="3" t="n"/>
    </row>
    <row r="59">
      <c r="A59" s="3" t="inlineStr">
        <is>
          <t>Flat Earth Loss</t>
        </is>
      </c>
      <c r="B59" s="3" t="inlineStr">
        <is>
          <t>LFE</t>
        </is>
      </c>
      <c r="C59" s="3" t="inlineStr">
        <is>
          <t>dB</t>
        </is>
      </c>
      <c r="D59" s="3" t="inlineStr">
        <is>
          <t>LFE = LGB + LFS</t>
        </is>
      </c>
      <c r="E59" s="7">
        <f>E57+E58</f>
        <v/>
      </c>
      <c r="F59" s="3" t="n"/>
      <c r="G59" s="3" t="n"/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5" t="inlineStr">
        <is>
          <t>Added by Team C (not in the course sheet)</t>
        </is>
      </c>
      <c r="B61" s="3" t="n"/>
      <c r="C61" s="3" t="n"/>
      <c r="D61" s="3" t="n"/>
      <c r="E61" s="3" t="n"/>
      <c r="F61" s="3" t="n"/>
      <c r="G61" s="3" t="n"/>
    </row>
    <row r="62">
      <c r="A62" s="5" t="inlineStr">
        <is>
          <t>Block</t>
        </is>
      </c>
      <c r="B62" s="5" t="inlineStr">
        <is>
          <t>Variable</t>
        </is>
      </c>
      <c r="C62" s="5" t="inlineStr">
        <is>
          <t>Units</t>
        </is>
      </c>
      <c r="D62" s="5" t="inlineStr">
        <is>
          <t>Equation</t>
        </is>
      </c>
      <c r="E62" s="5" t="inlineStr">
        <is>
          <t>Value</t>
        </is>
      </c>
      <c r="F62" s="3" t="n"/>
      <c r="G62" s="3" t="n"/>
    </row>
    <row r="63">
      <c r="A63" s="10" t="inlineStr">
        <is>
          <t>Link margin, flat earth</t>
        </is>
      </c>
      <c r="B63" s="10" t="inlineStr">
        <is>
          <t>M</t>
        </is>
      </c>
      <c r="C63" s="10" t="inlineStr">
        <is>
          <t>dB</t>
        </is>
      </c>
      <c r="D63" s="10" t="inlineStr">
        <is>
          <t>M = PRFE - Sensitivity</t>
        </is>
      </c>
      <c r="E63" s="11">
        <f>E31-G31</f>
        <v/>
      </c>
      <c r="F63" s="3" t="n"/>
      <c r="G63" s="3" t="n"/>
    </row>
    <row r="64">
      <c r="A64" s="10" t="inlineStr">
        <is>
          <t>Link margin with AN5142's -20 dB multipath</t>
        </is>
      </c>
      <c r="B64" s="10" t="inlineStr">
        <is>
          <t>M20</t>
        </is>
      </c>
      <c r="C64" s="10" t="inlineStr">
        <is>
          <t>dB</t>
        </is>
      </c>
      <c r="D64" s="10" t="inlineStr">
        <is>
          <t>M20 = M - 20</t>
        </is>
      </c>
      <c r="E64" s="11">
        <f>E63-20</f>
        <v/>
      </c>
      <c r="F64" s="3" t="n"/>
      <c r="G64" s="3" t="n"/>
    </row>
    <row r="65">
      <c r="A65" s="10" t="inlineStr">
        <is>
          <t>SNR at PRFE</t>
        </is>
      </c>
      <c r="B65" s="10" t="inlineStr">
        <is>
          <t>SNR</t>
        </is>
      </c>
      <c r="C65" s="10" t="inlineStr">
        <is>
          <t>dB</t>
        </is>
      </c>
      <c r="D65" s="10" t="inlineStr">
        <is>
          <t>SNR = PRFE - Pn</t>
        </is>
      </c>
      <c r="E65" s="11">
        <f>E31-E42</f>
        <v/>
      </c>
      <c r="F65" s="3" t="n"/>
      <c r="G65" s="3" t="n"/>
    </row>
    <row r="66">
      <c r="A66" s="10" t="inlineStr">
        <is>
          <t>Effective Radiated Power</t>
        </is>
      </c>
      <c r="B66" s="10" t="inlineStr">
        <is>
          <t>ERP</t>
        </is>
      </c>
      <c r="C66" s="10" t="inlineStr">
        <is>
          <t>dBm</t>
        </is>
      </c>
      <c r="D66" s="10" t="inlineStr">
        <is>
          <t>ERP = EIRP - 2.15</t>
        </is>
      </c>
      <c r="E66" s="11">
        <f>E17-2.15</f>
        <v/>
      </c>
      <c r="F66" s="3" t="n"/>
      <c r="G66" s="3" t="n"/>
    </row>
    <row r="67">
      <c r="A67" s="10" t="inlineStr">
        <is>
          <t>Regulatory limit (869.40-869.65 MHz: 500 mW e.r.p.)</t>
        </is>
      </c>
      <c r="B67" s="10" t="inlineStr">
        <is>
          <t>Plim</t>
        </is>
      </c>
      <c r="C67" s="10" t="inlineStr">
        <is>
          <t>dBm</t>
        </is>
      </c>
      <c r="D67" s="10" t="inlineStr">
        <is>
          <t>CNAF UN-39</t>
        </is>
      </c>
      <c r="E67" s="11" t="n">
        <v>27</v>
      </c>
      <c r="F67" s="3" t="n"/>
      <c r="G67" s="3" t="n"/>
    </row>
    <row r="68">
      <c r="A68" s="10" t="inlineStr">
        <is>
          <t>Regulatory check</t>
        </is>
      </c>
      <c r="B68" s="10" t="inlineStr"/>
      <c r="C68" s="10" t="inlineStr"/>
      <c r="D68" s="10" t="inlineStr">
        <is>
          <t>ERP &lt;= Plim</t>
        </is>
      </c>
      <c r="E68" s="11">
        <f>IF(E66&lt;=E67,"OK","OVER LIMIT")</f>
        <v/>
      </c>
      <c r="F68" s="3" t="n"/>
      <c r="G68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8" customWidth="1" min="3" max="3"/>
    <col width="48" customWidth="1" min="4" max="4"/>
    <col width="14" customWidth="1" min="5" max="5"/>
    <col width="14" customWidth="1" min="7" max="7"/>
  </cols>
  <sheetData>
    <row r="1">
      <c r="A1" s="2" t="inlineStr">
        <is>
          <t>RF System (Link Budget) Calculations</t>
        </is>
      </c>
      <c r="B1" s="3" t="n"/>
      <c r="C1" s="3" t="n"/>
      <c r="D1" s="3" t="n"/>
      <c r="E1" s="3" t="n"/>
      <c r="F1" s="3" t="n"/>
      <c r="G1" s="4" t="inlineStr">
        <is>
          <t>Team C baseline, one Network Mode hop of 100 m with -10 dB obstruction (no line of sight).</t>
        </is>
      </c>
    </row>
    <row r="2">
      <c r="A2" s="5" t="inlineStr">
        <is>
          <t>System Variables</t>
        </is>
      </c>
      <c r="B2" s="5" t="inlineStr">
        <is>
          <t>Variable</t>
        </is>
      </c>
      <c r="C2" s="5" t="inlineStr">
        <is>
          <t>Units</t>
        </is>
      </c>
      <c r="D2" s="5" t="inlineStr">
        <is>
          <t>Equation</t>
        </is>
      </c>
      <c r="E2" s="5" t="inlineStr">
        <is>
          <t>Value</t>
        </is>
      </c>
      <c r="F2" s="3" t="n"/>
      <c r="G2" s="3" t="n"/>
    </row>
    <row r="3">
      <c r="A3" s="3" t="inlineStr">
        <is>
          <t>Frequency</t>
        </is>
      </c>
      <c r="B3" s="3" t="inlineStr">
        <is>
          <t>f0</t>
        </is>
      </c>
      <c r="C3" s="3" t="inlineStr">
        <is>
          <t>MHz</t>
        </is>
      </c>
      <c r="D3" s="3" t="inlineStr"/>
      <c r="E3" s="6" t="n">
        <v>869.525</v>
      </c>
      <c r="F3" s="3" t="n"/>
      <c r="G3" s="3" t="n"/>
    </row>
    <row r="4">
      <c r="A4" s="3" t="inlineStr">
        <is>
          <t>Speed of Light</t>
        </is>
      </c>
      <c r="B4" s="3" t="inlineStr">
        <is>
          <t>c</t>
        </is>
      </c>
      <c r="C4" s="3" t="inlineStr">
        <is>
          <t>m/s</t>
        </is>
      </c>
      <c r="D4" s="3" t="inlineStr"/>
      <c r="E4" s="7" t="n">
        <v>299792458</v>
      </c>
      <c r="F4" s="3" t="n"/>
      <c r="G4" s="3" t="n"/>
    </row>
    <row r="5">
      <c r="A5" s="3" t="inlineStr">
        <is>
          <t>Wavelength</t>
        </is>
      </c>
      <c r="B5" s="3" t="inlineStr">
        <is>
          <t>λ</t>
        </is>
      </c>
      <c r="C5" s="3" t="inlineStr">
        <is>
          <t>m</t>
        </is>
      </c>
      <c r="D5" s="3" t="inlineStr">
        <is>
          <t>λ = c/f0</t>
        </is>
      </c>
      <c r="E5" s="7">
        <f>E4/(E3*1000000)</f>
        <v/>
      </c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5" t="inlineStr">
        <is>
          <t>Block</t>
        </is>
      </c>
      <c r="B8" s="5" t="inlineStr">
        <is>
          <t>Variable</t>
        </is>
      </c>
      <c r="C8" s="5" t="inlineStr">
        <is>
          <t>Units</t>
        </is>
      </c>
      <c r="D8" s="5" t="inlineStr">
        <is>
          <t>Equation</t>
        </is>
      </c>
      <c r="E8" s="5" t="inlineStr">
        <is>
          <t>Value</t>
        </is>
      </c>
      <c r="F8" s="3" t="n"/>
      <c r="G8" s="3" t="n"/>
    </row>
    <row r="9">
      <c r="A9" s="3" t="inlineStr">
        <is>
          <t>PA Power</t>
        </is>
      </c>
      <c r="B9" s="3" t="inlineStr">
        <is>
          <t>PPA</t>
        </is>
      </c>
      <c r="C9" s="3" t="inlineStr">
        <is>
          <t>dBm</t>
        </is>
      </c>
      <c r="D9" s="3" t="inlineStr"/>
      <c r="E9" s="6" t="n">
        <v>17</v>
      </c>
      <c r="F9" s="3" t="n"/>
      <c r="G9" s="3" t="n"/>
    </row>
    <row r="10">
      <c r="A10" s="3" t="inlineStr">
        <is>
          <t>TX Match Loss</t>
        </is>
      </c>
      <c r="B10" s="3" t="inlineStr">
        <is>
          <t>LMatchT</t>
        </is>
      </c>
      <c r="C10" s="3" t="inlineStr">
        <is>
          <t>dB</t>
        </is>
      </c>
      <c r="D10" s="3" t="inlineStr"/>
      <c r="E10" s="6" t="n">
        <v>-0.5</v>
      </c>
      <c r="F10" s="3" t="n"/>
      <c r="G10" s="3" t="n"/>
    </row>
    <row r="11">
      <c r="A11" s="3" t="inlineStr">
        <is>
          <t>TX source</t>
        </is>
      </c>
      <c r="B11" s="3" t="inlineStr">
        <is>
          <t>PTX</t>
        </is>
      </c>
      <c r="C11" s="3" t="inlineStr">
        <is>
          <t>dBm</t>
        </is>
      </c>
      <c r="D11" s="3" t="inlineStr">
        <is>
          <t>PTX = PPA + LMatchT</t>
        </is>
      </c>
      <c r="E11" s="7">
        <f>E9+E10</f>
        <v/>
      </c>
      <c r="F11" s="3" t="n"/>
      <c r="G11" s="3" t="n"/>
    </row>
    <row r="12">
      <c r="A12" s="3" t="inlineStr">
        <is>
          <t>TX connector loss</t>
        </is>
      </c>
      <c r="B12" s="3" t="inlineStr">
        <is>
          <t>LConT1</t>
        </is>
      </c>
      <c r="C12" s="3" t="inlineStr">
        <is>
          <t>dB</t>
        </is>
      </c>
      <c r="D12" s="3" t="inlineStr">
        <is>
          <t>(from Connector Loss sheet)</t>
        </is>
      </c>
      <c r="E12" s="6" t="n">
        <v>0</v>
      </c>
      <c r="F12" s="3" t="n"/>
      <c r="G12" s="3" t="n"/>
    </row>
    <row r="13">
      <c r="A13" s="3" t="inlineStr">
        <is>
          <t>TX cable loss</t>
        </is>
      </c>
      <c r="B13" s="3" t="inlineStr">
        <is>
          <t>LCabT</t>
        </is>
      </c>
      <c r="C13" s="3" t="inlineStr">
        <is>
          <t>dB</t>
        </is>
      </c>
      <c r="D13" s="3" t="inlineStr">
        <is>
          <t>(from Cable Loss sheet)</t>
        </is>
      </c>
      <c r="E13" s="6" t="n"/>
      <c r="F13" s="3" t="n"/>
      <c r="G13" s="3" t="n"/>
    </row>
    <row r="14">
      <c r="A14" s="3" t="inlineStr">
        <is>
          <t>TX connector loss (remote antenna)</t>
        </is>
      </c>
      <c r="B14" s="3" t="inlineStr">
        <is>
          <t>LConT2</t>
        </is>
      </c>
      <c r="C14" s="3" t="inlineStr">
        <is>
          <t>dB</t>
        </is>
      </c>
      <c r="D14" s="3" t="inlineStr">
        <is>
          <t>(from Connector Loss sheet)</t>
        </is>
      </c>
      <c r="E14" s="6" t="n"/>
      <c r="F14" s="3" t="n"/>
      <c r="G14" s="3" t="n"/>
    </row>
    <row r="15">
      <c r="A15" s="3" t="inlineStr">
        <is>
          <t>TX power</t>
        </is>
      </c>
      <c r="B15" s="3" t="inlineStr">
        <is>
          <t>PT</t>
        </is>
      </c>
      <c r="C15" s="3" t="inlineStr">
        <is>
          <t>dBm</t>
        </is>
      </c>
      <c r="D15" s="3" t="inlineStr">
        <is>
          <t>PT = PTX + (C&amp;C Loss)</t>
        </is>
      </c>
      <c r="E15" s="7">
        <f>E11+E12+E13+E14</f>
        <v/>
      </c>
      <c r="F15" s="3" t="n"/>
      <c r="G15" s="3" t="n"/>
    </row>
    <row r="16">
      <c r="A16" s="3" t="inlineStr">
        <is>
          <t>TX antenna gain</t>
        </is>
      </c>
      <c r="B16" s="3" t="inlineStr">
        <is>
          <t>GT</t>
        </is>
      </c>
      <c r="C16" s="3" t="inlineStr">
        <is>
          <t>dBi</t>
        </is>
      </c>
      <c r="D16" s="3" t="inlineStr"/>
      <c r="E16" s="12" t="n">
        <v>0</v>
      </c>
      <c r="F16" s="3" t="n"/>
      <c r="G16" s="3" t="n"/>
    </row>
    <row r="17">
      <c r="A17" s="3" t="inlineStr">
        <is>
          <t>Effective (Isotropic) Radiated Power</t>
        </is>
      </c>
      <c r="B17" s="3" t="inlineStr">
        <is>
          <t>EIRP</t>
        </is>
      </c>
      <c r="C17" s="3" t="inlineStr">
        <is>
          <t>dBm</t>
        </is>
      </c>
      <c r="D17" s="3" t="inlineStr">
        <is>
          <t>EIRP = PT + GT</t>
        </is>
      </c>
      <c r="E17" s="7">
        <f>E15+E16</f>
        <v/>
      </c>
      <c r="F17" s="3" t="n"/>
      <c r="G17" s="3" t="n"/>
    </row>
    <row r="18">
      <c r="A18" s="3" t="inlineStr">
        <is>
          <t>Distance</t>
        </is>
      </c>
      <c r="B18" s="3" t="inlineStr">
        <is>
          <t>d</t>
        </is>
      </c>
      <c r="C18" s="3" t="inlineStr">
        <is>
          <t>m</t>
        </is>
      </c>
      <c r="D18" s="3" t="inlineStr"/>
      <c r="E18" s="6" t="n">
        <v>100</v>
      </c>
      <c r="F18" s="3" t="n"/>
      <c r="G18" s="3" t="n"/>
    </row>
    <row r="19">
      <c r="A19" s="3" t="inlineStr">
        <is>
          <t>Channel Medium Loss Factor</t>
        </is>
      </c>
      <c r="B19" s="3" t="inlineStr">
        <is>
          <t>L0</t>
        </is>
      </c>
      <c r="C19" s="3" t="inlineStr">
        <is>
          <t>dB</t>
        </is>
      </c>
      <c r="D19" s="3" t="inlineStr">
        <is>
          <t>(from Medium Loss sheet)</t>
        </is>
      </c>
      <c r="E19" s="12" t="n">
        <v>-1</v>
      </c>
      <c r="F19" s="3" t="n"/>
      <c r="G19" s="3" t="n"/>
    </row>
    <row r="20">
      <c r="A20" s="3" t="inlineStr">
        <is>
          <t>Free Space Loss</t>
        </is>
      </c>
      <c r="B20" s="3" t="inlineStr">
        <is>
          <t>LFS</t>
        </is>
      </c>
      <c r="C20" s="3" t="inlineStr">
        <is>
          <t>dB</t>
        </is>
      </c>
      <c r="D20" s="3" t="inlineStr">
        <is>
          <t>LFS = (λ/4πd)²</t>
        </is>
      </c>
      <c r="E20" s="7">
        <f>20*LOG10(E5/(4*PI()*E18))</f>
        <v/>
      </c>
      <c r="F20" s="3" t="n"/>
      <c r="G20" s="3" t="n"/>
    </row>
    <row r="21">
      <c r="A21" s="3" t="inlineStr">
        <is>
          <t>Power at RX Antenna, Free Space Path</t>
        </is>
      </c>
      <c r="B21" s="3" t="inlineStr">
        <is>
          <t>PChanFS</t>
        </is>
      </c>
      <c r="C21" s="3" t="inlineStr">
        <is>
          <t>dB</t>
        </is>
      </c>
      <c r="D21" s="3" t="inlineStr">
        <is>
          <t>PChanFS = LFS + L0 + EIRP</t>
        </is>
      </c>
      <c r="E21" s="7">
        <f>E20+E19+E17</f>
        <v/>
      </c>
      <c r="F21" s="3" t="n"/>
      <c r="G21" s="3" t="n"/>
    </row>
    <row r="22">
      <c r="A22" s="3" t="inlineStr">
        <is>
          <t>Flat Earth Loss (Includes Ground Bounce)</t>
        </is>
      </c>
      <c r="B22" s="3" t="inlineStr">
        <is>
          <t>LFE</t>
        </is>
      </c>
      <c r="C22" s="3" t="inlineStr">
        <is>
          <t>dB</t>
        </is>
      </c>
      <c r="D22" s="3" t="inlineStr">
        <is>
          <t>(from Ground Multipath block, row 59)</t>
        </is>
      </c>
      <c r="E22" s="7">
        <f>E59</f>
        <v/>
      </c>
      <c r="F22" s="3" t="n"/>
      <c r="G22" s="3" t="n"/>
    </row>
    <row r="23">
      <c r="A23" s="3" t="inlineStr">
        <is>
          <t>Multipath Loss</t>
        </is>
      </c>
      <c r="B23" s="3" t="inlineStr">
        <is>
          <t>LMP</t>
        </is>
      </c>
      <c r="C23" s="3" t="inlineStr">
        <is>
          <t>dB</t>
        </is>
      </c>
      <c r="D23" s="3" t="inlineStr"/>
      <c r="E23" s="6" t="n">
        <v>0</v>
      </c>
      <c r="F23" s="3" t="n"/>
      <c r="G23" s="3" t="n"/>
    </row>
    <row r="24">
      <c r="A24" s="3" t="inlineStr">
        <is>
          <t>Obstruction Loss</t>
        </is>
      </c>
      <c r="B24" s="3" t="inlineStr">
        <is>
          <t>LObs-Total</t>
        </is>
      </c>
      <c r="C24" s="3" t="inlineStr">
        <is>
          <t>dB</t>
        </is>
      </c>
      <c r="D24" s="3" t="inlineStr"/>
      <c r="E24" s="6" t="n">
        <v>-10</v>
      </c>
      <c r="F24" s="3" t="n"/>
      <c r="G24" s="3" t="n"/>
    </row>
    <row r="25">
      <c r="A25" s="3" t="inlineStr">
        <is>
          <t>Power at RX Antenna, Flat Earth Path</t>
        </is>
      </c>
      <c r="B25" s="3" t="inlineStr">
        <is>
          <t>PChanFE</t>
        </is>
      </c>
      <c r="C25" s="3" t="inlineStr">
        <is>
          <t>dB</t>
        </is>
      </c>
      <c r="D25" s="3" t="inlineStr">
        <is>
          <t>PChanFE = LFE + L0 + LMP + LObs + EIRP</t>
        </is>
      </c>
      <c r="E25" s="7">
        <f>E22+E19+E23+E24+E17</f>
        <v/>
      </c>
      <c r="F25" s="3" t="n"/>
      <c r="G25" s="3" t="n"/>
    </row>
    <row r="26">
      <c r="A26" s="3" t="inlineStr">
        <is>
          <t>RX antenna gain</t>
        </is>
      </c>
      <c r="B26" s="3" t="inlineStr">
        <is>
          <t>GR</t>
        </is>
      </c>
      <c r="C26" s="3" t="inlineStr">
        <is>
          <t>dBi</t>
        </is>
      </c>
      <c r="D26" s="3" t="inlineStr"/>
      <c r="E26" s="12" t="n">
        <v>0</v>
      </c>
      <c r="F26" s="3" t="n"/>
      <c r="G26" s="3" t="n"/>
    </row>
    <row r="27">
      <c r="A27" s="3" t="inlineStr">
        <is>
          <t>RX connector loss</t>
        </is>
      </c>
      <c r="B27" s="3" t="inlineStr">
        <is>
          <t>LConR1</t>
        </is>
      </c>
      <c r="C27" s="3" t="inlineStr">
        <is>
          <t>dB</t>
        </is>
      </c>
      <c r="D27" s="3" t="inlineStr"/>
      <c r="E27" s="6" t="n">
        <v>0</v>
      </c>
      <c r="F27" s="3" t="n"/>
      <c r="G27" s="3" t="n"/>
    </row>
    <row r="28">
      <c r="A28" s="3" t="inlineStr">
        <is>
          <t>RX cable loss</t>
        </is>
      </c>
      <c r="B28" s="3" t="inlineStr">
        <is>
          <t>LCabR</t>
        </is>
      </c>
      <c r="C28" s="3" t="inlineStr">
        <is>
          <t>dB</t>
        </is>
      </c>
      <c r="D28" s="3" t="inlineStr"/>
      <c r="E28" s="6" t="n"/>
      <c r="F28" s="3" t="n"/>
      <c r="G28" s="3" t="n"/>
    </row>
    <row r="29">
      <c r="A29" s="3" t="inlineStr">
        <is>
          <t>RX connector loss (remote antenna)</t>
        </is>
      </c>
      <c r="B29" s="3" t="inlineStr">
        <is>
          <t>LConR2</t>
        </is>
      </c>
      <c r="C29" s="3" t="inlineStr">
        <is>
          <t>dB</t>
        </is>
      </c>
      <c r="D29" s="3" t="inlineStr"/>
      <c r="E29" s="6" t="n"/>
      <c r="F29" s="3" t="n"/>
      <c r="G29" s="3" t="n"/>
    </row>
    <row r="30">
      <c r="A30" s="3" t="inlineStr">
        <is>
          <t>RX power, Free Space Path</t>
        </is>
      </c>
      <c r="B30" s="3" t="inlineStr">
        <is>
          <t>PRFS</t>
        </is>
      </c>
      <c r="C30" s="3" t="inlineStr">
        <is>
          <t>dBm</t>
        </is>
      </c>
      <c r="D30" s="3" t="inlineStr">
        <is>
          <t>PRFS = PChanFS + GR + (C&amp;C Loss)</t>
        </is>
      </c>
      <c r="E30" s="7">
        <f>E21+E26+E27+E28+E29</f>
        <v/>
      </c>
      <c r="F30" s="3" t="n"/>
      <c r="G30" s="3" t="n"/>
    </row>
    <row r="31">
      <c r="A31" s="3" t="inlineStr">
        <is>
          <t>RX power, Flat Earth Path</t>
        </is>
      </c>
      <c r="B31" s="3" t="inlineStr">
        <is>
          <t>PRFE</t>
        </is>
      </c>
      <c r="C31" s="3" t="inlineStr">
        <is>
          <t>dBm</t>
        </is>
      </c>
      <c r="D31" s="3" t="inlineStr">
        <is>
          <t>PRFE = PChanFE + GR + (C&amp;C Loss)</t>
        </is>
      </c>
      <c r="E31" s="7">
        <f>E25+E26+E27+E28+E29</f>
        <v/>
      </c>
      <c r="F31" s="3" t="n"/>
      <c r="G31" s="13" t="n">
        <v>-100</v>
      </c>
    </row>
    <row r="32">
      <c r="A32" s="3" t="n"/>
      <c r="B32" s="3" t="n"/>
      <c r="C32" s="3" t="n"/>
      <c r="D32" s="3" t="n"/>
      <c r="E32" s="3" t="n"/>
      <c r="F32" s="5" t="inlineStr">
        <is>
          <t>Sensitivity of Rx</t>
        </is>
      </c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5" t="inlineStr">
        <is>
          <t>Receiver Sensitivity Calculations</t>
        </is>
      </c>
      <c r="B35" s="5" t="inlineStr">
        <is>
          <t>Variable</t>
        </is>
      </c>
      <c r="C35" s="5" t="inlineStr">
        <is>
          <t>Units</t>
        </is>
      </c>
      <c r="D35" s="5" t="inlineStr">
        <is>
          <t>Equation</t>
        </is>
      </c>
      <c r="E35" s="5" t="inlineStr">
        <is>
          <t>Value</t>
        </is>
      </c>
      <c r="F35" s="3" t="n"/>
      <c r="G35" s="3" t="n"/>
    </row>
    <row r="36">
      <c r="A36" s="3" t="inlineStr">
        <is>
          <t>RX Noise Figure</t>
        </is>
      </c>
      <c r="B36" s="3" t="inlineStr">
        <is>
          <t>NF</t>
        </is>
      </c>
      <c r="C36" s="3" t="inlineStr">
        <is>
          <t>dB</t>
        </is>
      </c>
      <c r="D36" s="3" t="inlineStr"/>
      <c r="E36" s="12" t="n">
        <v>7</v>
      </c>
      <c r="F36" s="3" t="n"/>
      <c r="G36" s="3" t="n"/>
    </row>
    <row r="37">
      <c r="A37" s="3" t="inlineStr">
        <is>
          <t>Operating Temperature</t>
        </is>
      </c>
      <c r="B37" s="3" t="inlineStr">
        <is>
          <t>T0</t>
        </is>
      </c>
      <c r="C37" s="3" t="inlineStr">
        <is>
          <t>K</t>
        </is>
      </c>
      <c r="D37" s="3" t="inlineStr"/>
      <c r="E37" s="6" t="n">
        <v>290</v>
      </c>
      <c r="F37" s="3" t="n"/>
      <c r="G37" s="3" t="n"/>
    </row>
    <row r="38">
      <c r="A38" s="3" t="inlineStr">
        <is>
          <t>Effective Noise Temperature</t>
        </is>
      </c>
      <c r="B38" s="3" t="inlineStr">
        <is>
          <t>Te</t>
        </is>
      </c>
      <c r="C38" s="3" t="inlineStr">
        <is>
          <t>K</t>
        </is>
      </c>
      <c r="D38" s="3" t="inlineStr">
        <is>
          <t>Te = T0(NF - 1)</t>
        </is>
      </c>
      <c r="E38" s="7">
        <f>E37*(10^(E36/10)-1)</f>
        <v/>
      </c>
      <c r="F38" s="3" t="n"/>
      <c r="G38" s="3" t="n"/>
    </row>
    <row r="39">
      <c r="A39" s="3" t="inlineStr">
        <is>
          <t>Boltzmann's constant</t>
        </is>
      </c>
      <c r="B39" s="3" t="inlineStr">
        <is>
          <t>k</t>
        </is>
      </c>
      <c r="C39" s="3" t="inlineStr">
        <is>
          <t>J/K</t>
        </is>
      </c>
      <c r="D39" s="3" t="inlineStr"/>
      <c r="E39" s="9" t="n">
        <v>1.38e-23</v>
      </c>
      <c r="F39" s="3" t="n"/>
      <c r="G39" s="3" t="n"/>
    </row>
    <row r="40">
      <c r="A40" s="3" t="inlineStr">
        <is>
          <t>Receive Bandwidth</t>
        </is>
      </c>
      <c r="B40" s="3" t="inlineStr">
        <is>
          <t>BWRX</t>
        </is>
      </c>
      <c r="C40" s="3" t="inlineStr">
        <is>
          <t>MHz</t>
        </is>
      </c>
      <c r="D40" s="3" t="inlineStr"/>
      <c r="E40" s="12" t="n">
        <v>0.2</v>
      </c>
      <c r="F40" s="3" t="n"/>
      <c r="G40" s="3" t="n"/>
    </row>
    <row r="41">
      <c r="A41" s="3" t="inlineStr">
        <is>
          <t>Antenna Temperature</t>
        </is>
      </c>
      <c r="B41" s="3" t="inlineStr">
        <is>
          <t>TAnt</t>
        </is>
      </c>
      <c r="C41" s="3" t="inlineStr">
        <is>
          <t>K</t>
        </is>
      </c>
      <c r="D41" s="3" t="inlineStr"/>
      <c r="E41" s="6" t="n">
        <v>300</v>
      </c>
      <c r="F41" s="3" t="n"/>
      <c r="G41" s="3" t="n"/>
    </row>
    <row r="42">
      <c r="A42" s="3" t="inlineStr">
        <is>
          <t>Noise Power (at RX)</t>
        </is>
      </c>
      <c r="B42" s="3" t="inlineStr">
        <is>
          <t>Pn</t>
        </is>
      </c>
      <c r="C42" s="3" t="inlineStr">
        <is>
          <t>dBm</t>
        </is>
      </c>
      <c r="D42" s="3" t="inlineStr">
        <is>
          <t>Pn = k(TAnt + Te)BWRX</t>
        </is>
      </c>
      <c r="E42" s="7">
        <f>10*LOG10(E39*(E41+E38)*E40*1000000)+30</f>
        <v/>
      </c>
      <c r="F42" s="3" t="n"/>
      <c r="G42" s="3" t="n"/>
    </row>
    <row r="43">
      <c r="A43" s="3" t="inlineStr">
        <is>
          <t>Signal to Noise Ratio</t>
        </is>
      </c>
      <c r="B43" s="3" t="inlineStr">
        <is>
          <t>SNRRX</t>
        </is>
      </c>
      <c r="C43" s="3" t="inlineStr">
        <is>
          <t>dB</t>
        </is>
      </c>
      <c r="D43" s="3" t="inlineStr">
        <is>
          <t>SNRRX = PRX/Pn  (course: sensitivity G31 over Pn)</t>
        </is>
      </c>
      <c r="E43" s="7">
        <f>G31-E42</f>
        <v/>
      </c>
      <c r="F43" s="3" t="n"/>
      <c r="G43" s="3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5" t="inlineStr">
        <is>
          <t>Ground Reflection Path Loss (course 'Ground Multipath' sheet, inlined here)</t>
        </is>
      </c>
      <c r="B46" s="3" t="n"/>
      <c r="C46" s="3" t="n"/>
      <c r="D46" s="3" t="n"/>
      <c r="E46" s="3" t="n"/>
      <c r="F46" s="3" t="n"/>
      <c r="G46" s="3" t="n"/>
    </row>
    <row r="47">
      <c r="A47" s="5" t="inlineStr">
        <is>
          <t>Block</t>
        </is>
      </c>
      <c r="B47" s="5" t="inlineStr">
        <is>
          <t>Variable</t>
        </is>
      </c>
      <c r="C47" s="5" t="inlineStr">
        <is>
          <t>Units</t>
        </is>
      </c>
      <c r="D47" s="5" t="inlineStr">
        <is>
          <t>Equation</t>
        </is>
      </c>
      <c r="E47" s="5" t="inlineStr">
        <is>
          <t>Value</t>
        </is>
      </c>
      <c r="F47" s="3" t="n"/>
      <c r="G47" s="3" t="n"/>
    </row>
    <row r="48">
      <c r="A48" s="3" t="inlineStr">
        <is>
          <t>TX height</t>
        </is>
      </c>
      <c r="B48" s="3" t="inlineStr">
        <is>
          <t>hTX</t>
        </is>
      </c>
      <c r="C48" s="3" t="inlineStr">
        <is>
          <t>m</t>
        </is>
      </c>
      <c r="D48" s="3" t="inlineStr"/>
      <c r="E48" s="12" t="n">
        <v>0.75</v>
      </c>
      <c r="F48" s="3" t="n"/>
      <c r="G48" s="3" t="n"/>
    </row>
    <row r="49">
      <c r="A49" s="3" t="inlineStr">
        <is>
          <t>RX height</t>
        </is>
      </c>
      <c r="B49" s="3" t="inlineStr">
        <is>
          <t>hRX</t>
        </is>
      </c>
      <c r="C49" s="3" t="inlineStr">
        <is>
          <t>m</t>
        </is>
      </c>
      <c r="D49" s="3" t="inlineStr"/>
      <c r="E49" s="12" t="n">
        <v>0.75</v>
      </c>
      <c r="F49" s="3" t="n"/>
      <c r="G49" s="3" t="n"/>
    </row>
    <row r="50">
      <c r="A50" s="3" t="inlineStr">
        <is>
          <t>Distance</t>
        </is>
      </c>
      <c r="B50" s="3" t="inlineStr">
        <is>
          <t>d</t>
        </is>
      </c>
      <c r="C50" s="3" t="inlineStr">
        <is>
          <t>m</t>
        </is>
      </c>
      <c r="D50" s="3" t="inlineStr">
        <is>
          <t>(from Link Budget, row 18)</t>
        </is>
      </c>
      <c r="E50" s="7">
        <f>E18</f>
        <v/>
      </c>
      <c r="F50" s="3" t="n"/>
      <c r="G50" s="3" t="n"/>
    </row>
    <row r="51">
      <c r="A51" s="3" t="inlineStr">
        <is>
          <t>Direct Path</t>
        </is>
      </c>
      <c r="B51" s="3" t="inlineStr">
        <is>
          <t>d1</t>
        </is>
      </c>
      <c r="C51" s="3" t="inlineStr">
        <is>
          <t>m</t>
        </is>
      </c>
      <c r="D51" s="3" t="inlineStr">
        <is>
          <t>d1 = (d² + (hTX - hRX)²)^½</t>
        </is>
      </c>
      <c r="E51" s="7">
        <f>SQRT(E50^2+(E48-E49)^2)</f>
        <v/>
      </c>
      <c r="F51" s="3" t="n"/>
      <c r="G51" s="3" t="n"/>
    </row>
    <row r="52">
      <c r="A52" s="3" t="inlineStr">
        <is>
          <t>Reflection Path</t>
        </is>
      </c>
      <c r="B52" s="3" t="inlineStr">
        <is>
          <t>d2</t>
        </is>
      </c>
      <c r="C52" s="3" t="inlineStr">
        <is>
          <t>m</t>
        </is>
      </c>
      <c r="D52" s="3" t="inlineStr">
        <is>
          <t>d2 = (d² + (hTX + hRX)²)^½</t>
        </is>
      </c>
      <c r="E52" s="7">
        <f>SQRT(E50^2+(E48+E49)^2)</f>
        <v/>
      </c>
      <c r="F52" s="3" t="n"/>
      <c r="G52" s="3" t="n"/>
    </row>
    <row r="53">
      <c r="A53" s="3" t="inlineStr">
        <is>
          <t>Reflection Path Δ</t>
        </is>
      </c>
      <c r="B53" s="3" t="inlineStr">
        <is>
          <t>Δd</t>
        </is>
      </c>
      <c r="C53" s="3" t="inlineStr">
        <is>
          <t>m</t>
        </is>
      </c>
      <c r="D53" s="3" t="inlineStr">
        <is>
          <t>Δd = d2 - d1</t>
        </is>
      </c>
      <c r="E53" s="7">
        <f>E52-E51</f>
        <v/>
      </c>
      <c r="F53" s="3" t="n"/>
      <c r="G53" s="3" t="n"/>
    </row>
    <row r="54">
      <c r="A54" s="3" t="inlineStr">
        <is>
          <t>Estimated Reflection Path Δ</t>
        </is>
      </c>
      <c r="B54" s="3" t="inlineStr">
        <is>
          <t>Δde</t>
        </is>
      </c>
      <c r="C54" s="3" t="inlineStr">
        <is>
          <t>m</t>
        </is>
      </c>
      <c r="D54" s="3" t="inlineStr">
        <is>
          <t>Δde = 2·hTX·hRX/d</t>
        </is>
      </c>
      <c r="E54" s="7">
        <f>2*E48*E49/E50</f>
        <v/>
      </c>
      <c r="F54" s="3" t="n"/>
      <c r="G54" s="3" t="n"/>
    </row>
    <row r="55">
      <c r="A55" s="3" t="inlineStr">
        <is>
          <t>Wavelength</t>
        </is>
      </c>
      <c r="B55" s="3" t="inlineStr">
        <is>
          <t>λ</t>
        </is>
      </c>
      <c r="C55" s="3" t="inlineStr">
        <is>
          <t>m</t>
        </is>
      </c>
      <c r="D55" s="3" t="inlineStr">
        <is>
          <t>(from Link Budget, row 5)</t>
        </is>
      </c>
      <c r="E55" s="7">
        <f>E5</f>
        <v/>
      </c>
      <c r="F55" s="3" t="n"/>
      <c r="G55" s="3" t="n"/>
    </row>
    <row r="56">
      <c r="A56" s="3" t="inlineStr">
        <is>
          <t>Normalized Ground Bounce Amplitude</t>
        </is>
      </c>
      <c r="B56" s="3" t="inlineStr">
        <is>
          <t>a</t>
        </is>
      </c>
      <c r="C56" s="3" t="inlineStr">
        <is>
          <t>none</t>
        </is>
      </c>
      <c r="D56" s="3" t="inlineStr"/>
      <c r="E56" s="6" t="n">
        <v>1</v>
      </c>
      <c r="F56" s="3" t="n"/>
      <c r="G56" s="3" t="n"/>
    </row>
    <row r="57">
      <c r="A57" s="3" t="inlineStr">
        <is>
          <t>Loss From Ground Bounce Cancellation</t>
        </is>
      </c>
      <c r="B57" s="3" t="inlineStr">
        <is>
          <t>LGB</t>
        </is>
      </c>
      <c r="C57" s="3" t="inlineStr">
        <is>
          <t>dB</t>
        </is>
      </c>
      <c r="D57" s="3" t="inlineStr">
        <is>
          <t>LGB = 10log10(1 + a² - 2a|cos(2πΔd/λ)|)</t>
        </is>
      </c>
      <c r="E57" s="7">
        <f>10*LOG10(1+E56^2-2*E56*ABS(COS(2*PI()*E53/E55)))</f>
        <v/>
      </c>
      <c r="F57" s="3" t="n"/>
      <c r="G57" s="3" t="n"/>
    </row>
    <row r="58">
      <c r="A58" s="3" t="inlineStr">
        <is>
          <t>Free Space Loss</t>
        </is>
      </c>
      <c r="B58" s="3" t="inlineStr">
        <is>
          <t>LFS</t>
        </is>
      </c>
      <c r="C58" s="3" t="inlineStr">
        <is>
          <t>dB</t>
        </is>
      </c>
      <c r="D58" s="3" t="inlineStr">
        <is>
          <t>LFS = 10log10(λ/4πd)²</t>
        </is>
      </c>
      <c r="E58" s="7">
        <f>20*LOG10(E55/(4*PI()*E50))</f>
        <v/>
      </c>
      <c r="F58" s="3" t="n"/>
      <c r="G58" s="3" t="n"/>
    </row>
    <row r="59">
      <c r="A59" s="3" t="inlineStr">
        <is>
          <t>Flat Earth Loss</t>
        </is>
      </c>
      <c r="B59" s="3" t="inlineStr">
        <is>
          <t>LFE</t>
        </is>
      </c>
      <c r="C59" s="3" t="inlineStr">
        <is>
          <t>dB</t>
        </is>
      </c>
      <c r="D59" s="3" t="inlineStr">
        <is>
          <t>LFE = LGB + LFS</t>
        </is>
      </c>
      <c r="E59" s="7">
        <f>E57+E58</f>
        <v/>
      </c>
      <c r="F59" s="3" t="n"/>
      <c r="G59" s="3" t="n"/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5" t="inlineStr">
        <is>
          <t>Added by Team C (not in the course sheet)</t>
        </is>
      </c>
      <c r="B61" s="3" t="n"/>
      <c r="C61" s="3" t="n"/>
      <c r="D61" s="3" t="n"/>
      <c r="E61" s="3" t="n"/>
      <c r="F61" s="3" t="n"/>
      <c r="G61" s="3" t="n"/>
    </row>
    <row r="62">
      <c r="A62" s="5" t="inlineStr">
        <is>
          <t>Block</t>
        </is>
      </c>
      <c r="B62" s="5" t="inlineStr">
        <is>
          <t>Variable</t>
        </is>
      </c>
      <c r="C62" s="5" t="inlineStr">
        <is>
          <t>Units</t>
        </is>
      </c>
      <c r="D62" s="5" t="inlineStr">
        <is>
          <t>Equation</t>
        </is>
      </c>
      <c r="E62" s="5" t="inlineStr">
        <is>
          <t>Value</t>
        </is>
      </c>
      <c r="F62" s="3" t="n"/>
      <c r="G62" s="3" t="n"/>
    </row>
    <row r="63">
      <c r="A63" s="10" t="inlineStr">
        <is>
          <t>Link margin, flat earth</t>
        </is>
      </c>
      <c r="B63" s="10" t="inlineStr">
        <is>
          <t>M</t>
        </is>
      </c>
      <c r="C63" s="10" t="inlineStr">
        <is>
          <t>dB</t>
        </is>
      </c>
      <c r="D63" s="10" t="inlineStr">
        <is>
          <t>M = PRFE - Sensitivity</t>
        </is>
      </c>
      <c r="E63" s="11">
        <f>E31-G31</f>
        <v/>
      </c>
      <c r="F63" s="3" t="n"/>
      <c r="G63" s="3" t="n"/>
    </row>
    <row r="64">
      <c r="A64" s="10" t="inlineStr">
        <is>
          <t>Link margin with AN5142's -20 dB multipath</t>
        </is>
      </c>
      <c r="B64" s="10" t="inlineStr">
        <is>
          <t>M20</t>
        </is>
      </c>
      <c r="C64" s="10" t="inlineStr">
        <is>
          <t>dB</t>
        </is>
      </c>
      <c r="D64" s="10" t="inlineStr">
        <is>
          <t>M20 = M - 20</t>
        </is>
      </c>
      <c r="E64" s="11">
        <f>E63-20</f>
        <v/>
      </c>
      <c r="F64" s="3" t="n"/>
      <c r="G64" s="3" t="n"/>
    </row>
    <row r="65">
      <c r="A65" s="10" t="inlineStr">
        <is>
          <t>SNR at PRFE</t>
        </is>
      </c>
      <c r="B65" s="10" t="inlineStr">
        <is>
          <t>SNR</t>
        </is>
      </c>
      <c r="C65" s="10" t="inlineStr">
        <is>
          <t>dB</t>
        </is>
      </c>
      <c r="D65" s="10" t="inlineStr">
        <is>
          <t>SNR = PRFE - Pn</t>
        </is>
      </c>
      <c r="E65" s="11">
        <f>E31-E42</f>
        <v/>
      </c>
      <c r="F65" s="3" t="n"/>
      <c r="G65" s="3" t="n"/>
    </row>
    <row r="66">
      <c r="A66" s="10" t="inlineStr">
        <is>
          <t>Effective Radiated Power</t>
        </is>
      </c>
      <c r="B66" s="10" t="inlineStr">
        <is>
          <t>ERP</t>
        </is>
      </c>
      <c r="C66" s="10" t="inlineStr">
        <is>
          <t>dBm</t>
        </is>
      </c>
      <c r="D66" s="10" t="inlineStr">
        <is>
          <t>ERP = EIRP - 2.15</t>
        </is>
      </c>
      <c r="E66" s="11">
        <f>E17-2.15</f>
        <v/>
      </c>
      <c r="F66" s="3" t="n"/>
      <c r="G66" s="3" t="n"/>
    </row>
    <row r="67">
      <c r="A67" s="10" t="inlineStr">
        <is>
          <t>Regulatory limit (869.40-869.65 MHz: 500 mW e.r.p.)</t>
        </is>
      </c>
      <c r="B67" s="10" t="inlineStr">
        <is>
          <t>Plim</t>
        </is>
      </c>
      <c r="C67" s="10" t="inlineStr">
        <is>
          <t>dBm</t>
        </is>
      </c>
      <c r="D67" s="10" t="inlineStr">
        <is>
          <t>CNAF UN-39</t>
        </is>
      </c>
      <c r="E67" s="11" t="n">
        <v>27</v>
      </c>
      <c r="F67" s="3" t="n"/>
      <c r="G67" s="3" t="n"/>
    </row>
    <row r="68">
      <c r="A68" s="10" t="inlineStr">
        <is>
          <t>Regulatory check</t>
        </is>
      </c>
      <c r="B68" s="10" t="inlineStr"/>
      <c r="C68" s="10" t="inlineStr"/>
      <c r="D68" s="10" t="inlineStr">
        <is>
          <t>ERP &lt;= Plim</t>
        </is>
      </c>
      <c r="E68" s="11">
        <f>IF(E66&lt;=E67,"OK","OVER LIMIT")</f>
        <v/>
      </c>
      <c r="F68" s="3" t="n"/>
      <c r="G6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2026-10-09T14:17:49Z</dcterms:created>
  <dcterms:modified xsi:type="dcterms:W3CDTF">2026-10-09T14:17:49Z</dcterms:modified>
</cp:coreProperties>
</file>